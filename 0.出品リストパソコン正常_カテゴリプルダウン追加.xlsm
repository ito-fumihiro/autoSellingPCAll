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"/>
    </mc:Choice>
  </mc:AlternateContent>
  <xr:revisionPtr revIDLastSave="0" documentId="13_ncr:1_{0AEA1329-5956-4613-BD75-C02F9C7255D9}" xr6:coauthVersionLast="46" xr6:coauthVersionMax="46" xr10:uidLastSave="{00000000-0000-0000-0000-000000000000}"/>
  <bookViews>
    <workbookView xWindow="28680" yWindow="-120" windowWidth="29040" windowHeight="15840" xr2:uid="{516BA8AA-753F-457B-BB4E-09465377D816}"/>
  </bookViews>
  <sheets>
    <sheet name="出品情報" sheetId="1" r:id="rId1"/>
    <sheet name="貼り付け" sheetId="3" r:id="rId2"/>
    <sheet name="リスト" sheetId="2" r:id="rId3"/>
    <sheet name="カテゴリ対応表" sheetId="4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V3" i="1"/>
  <c r="W3" i="1"/>
  <c r="X3" i="1"/>
  <c r="Y3" i="1" s="1"/>
  <c r="A4" i="1"/>
  <c r="B4" i="1"/>
  <c r="D4" i="1"/>
  <c r="E4" i="1"/>
  <c r="F4" i="1"/>
  <c r="Z4" i="1" s="1"/>
  <c r="G4" i="1"/>
  <c r="H4" i="1"/>
  <c r="I4" i="1"/>
  <c r="J4" i="1"/>
  <c r="K4" i="1"/>
  <c r="L4" i="1"/>
  <c r="M4" i="1"/>
  <c r="N4" i="1"/>
  <c r="O4" i="1"/>
  <c r="P4" i="1"/>
  <c r="Q4" i="1"/>
  <c r="R4" i="1"/>
  <c r="V4" i="1"/>
  <c r="W4" i="1"/>
  <c r="X4" i="1"/>
  <c r="Y4" i="1"/>
  <c r="A2" i="1"/>
  <c r="B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W2" i="1"/>
  <c r="X2" i="1"/>
  <c r="A1" i="1"/>
  <c r="B1" i="1"/>
  <c r="D1" i="1"/>
  <c r="E1" i="1"/>
  <c r="F1" i="1"/>
  <c r="G1" i="1"/>
  <c r="Z1" i="1" s="1"/>
  <c r="H1" i="1"/>
  <c r="I1" i="1"/>
  <c r="J1" i="1"/>
  <c r="K1" i="1"/>
  <c r="L1" i="1"/>
  <c r="M1" i="1"/>
  <c r="N1" i="1"/>
  <c r="O1" i="1"/>
  <c r="P1" i="1"/>
  <c r="Q1" i="1"/>
  <c r="V1" i="1"/>
  <c r="W1" i="1"/>
  <c r="X1" i="1"/>
  <c r="Y1" i="1"/>
  <c r="R1" i="1" l="1"/>
  <c r="C1" i="1"/>
  <c r="Z3" i="1"/>
  <c r="C4" i="1"/>
  <c r="C3" i="1"/>
  <c r="Z2" i="1"/>
  <c r="C2" i="1"/>
</calcChain>
</file>

<file path=xl/sharedStrings.xml><?xml version="1.0" encoding="utf-8"?>
<sst xmlns="http://schemas.openxmlformats.org/spreadsheetml/2006/main" count="1459" uniqueCount="220">
  <si>
    <t>写真を参考ください</t>
    <rPh sb="0" eb="2">
      <t>ｼｬｼﾝ</t>
    </rPh>
    <rPh sb="3" eb="5">
      <t>ｻﾝｺｳ</t>
    </rPh>
    <phoneticPr fontId="3" type="noConversion"/>
  </si>
  <si>
    <t>FUJITSU</t>
  </si>
  <si>
    <t>内蔵</t>
    <rPh sb="0" eb="2">
      <t>ﾅｲｿﾞｳ</t>
    </rPh>
    <phoneticPr fontId="3" type="noConversion"/>
  </si>
  <si>
    <t>充電可能</t>
    <rPh sb="0" eb="2">
      <t>ｼﾞｭｳﾃﾞﾝ</t>
    </rPh>
    <rPh sb="2" eb="4">
      <t>ｶﾉｳ</t>
    </rPh>
    <phoneticPr fontId="3" type="noConversion"/>
  </si>
  <si>
    <t>CPU</t>
  </si>
  <si>
    <t>なし</t>
  </si>
  <si>
    <t>問題無し</t>
    <rPh sb="0" eb="2">
      <t>ﾓﾝﾀﾞｲ</t>
    </rPh>
    <rPh sb="2" eb="3">
      <t>ﾅ</t>
    </rPh>
    <phoneticPr fontId="3" type="noConversion"/>
  </si>
  <si>
    <t>なし</t>
    <phoneticPr fontId="3" type="noConversion"/>
  </si>
  <si>
    <t>Panasonic</t>
    <phoneticPr fontId="3" type="noConversion"/>
  </si>
  <si>
    <t>不明</t>
    <phoneticPr fontId="3" type="noConversion"/>
  </si>
  <si>
    <t>ノートブック、ノートパソコン</t>
    <phoneticPr fontId="1"/>
  </si>
  <si>
    <t>あり</t>
    <phoneticPr fontId="3" type="noConversion"/>
  </si>
  <si>
    <t>ACアダプター</t>
    <phoneticPr fontId="3" type="noConversion"/>
  </si>
  <si>
    <t>内蔵</t>
    <rPh sb="0" eb="2">
      <t>ナイゾウ</t>
    </rPh>
    <phoneticPr fontId="1"/>
  </si>
  <si>
    <t>2ＧＢ</t>
    <phoneticPr fontId="3" type="noConversion"/>
  </si>
  <si>
    <t>Ｈ250ＧＢ</t>
    <phoneticPr fontId="3" type="noConversion"/>
  </si>
  <si>
    <t>TOSHIBA</t>
    <phoneticPr fontId="3" type="noConversion"/>
  </si>
  <si>
    <t>起動不可</t>
    <rPh sb="0" eb="2">
      <t>ｷﾄﾞｳ</t>
    </rPh>
    <rPh sb="2" eb="4">
      <t>ﾌｶ</t>
    </rPh>
    <phoneticPr fontId="3" type="noConversion"/>
  </si>
  <si>
    <t>デスクトップ</t>
    <phoneticPr fontId="3" type="noConversion"/>
  </si>
  <si>
    <t>DVD ROM</t>
    <phoneticPr fontId="3" type="noConversion"/>
  </si>
  <si>
    <t>充電不可</t>
    <rPh sb="2" eb="4">
      <t>ﾌｶ</t>
    </rPh>
    <phoneticPr fontId="3" type="noConversion"/>
  </si>
  <si>
    <t>画面割れ</t>
  </si>
  <si>
    <t>電源ケーブル</t>
    <rPh sb="0" eb="2">
      <t>ﾃﾞﾝｹﾞﾝ</t>
    </rPh>
    <phoneticPr fontId="3" type="noConversion"/>
  </si>
  <si>
    <t>4ＧＢ</t>
    <phoneticPr fontId="3" type="noConversion"/>
  </si>
  <si>
    <t>Ｈ320ＧＢ</t>
    <phoneticPr fontId="3" type="noConversion"/>
  </si>
  <si>
    <t>キー欠品</t>
  </si>
  <si>
    <t>DVD マルチ</t>
    <phoneticPr fontId="3" type="noConversion"/>
  </si>
  <si>
    <t>液晶不良</t>
    <phoneticPr fontId="3" type="noConversion"/>
  </si>
  <si>
    <t>8ＧＢ</t>
    <phoneticPr fontId="3" type="noConversion"/>
  </si>
  <si>
    <t>Ｈ500ＧＢ</t>
    <phoneticPr fontId="3" type="noConversion"/>
  </si>
  <si>
    <t>NEC</t>
    <phoneticPr fontId="3" type="noConversion"/>
  </si>
  <si>
    <r>
      <t>K/B</t>
    </r>
    <r>
      <rPr>
        <sz val="11"/>
        <color theme="1"/>
        <rFont val="Yu Gothic"/>
        <family val="2"/>
        <charset val="128"/>
      </rPr>
      <t>なし</t>
    </r>
    <phoneticPr fontId="1"/>
  </si>
  <si>
    <t>Ｈ1ＴＢ</t>
    <phoneticPr fontId="3" type="noConversion"/>
  </si>
  <si>
    <t>HP</t>
    <phoneticPr fontId="3" type="noConversion"/>
  </si>
  <si>
    <t>ケース割れ</t>
  </si>
  <si>
    <t>Ｓ120ＧＢ</t>
    <phoneticPr fontId="3" type="noConversion"/>
  </si>
  <si>
    <t>SONY</t>
    <phoneticPr fontId="3" type="noConversion"/>
  </si>
  <si>
    <t>Biosロック</t>
    <phoneticPr fontId="3" type="noConversion"/>
  </si>
  <si>
    <t>Ｓ240ＧＢ</t>
    <phoneticPr fontId="3" type="noConversion"/>
  </si>
  <si>
    <t>DELL</t>
    <phoneticPr fontId="3" type="noConversion"/>
  </si>
  <si>
    <t>Ｓ480ＧＢ</t>
    <phoneticPr fontId="3" type="noConversion"/>
  </si>
  <si>
    <t>ACER</t>
    <phoneticPr fontId="3" type="noConversion"/>
  </si>
  <si>
    <t>Ｓ1Ｔ</t>
    <phoneticPr fontId="3" type="noConversion"/>
  </si>
  <si>
    <t>Lenovo</t>
  </si>
  <si>
    <t>ASUS</t>
  </si>
  <si>
    <t>在庫ID</t>
  </si>
  <si>
    <t>物品名</t>
  </si>
  <si>
    <t>カテゴリ</t>
  </si>
  <si>
    <t>保管場所</t>
  </si>
  <si>
    <t>状態</t>
  </si>
  <si>
    <t>数量</t>
  </si>
  <si>
    <t>単位</t>
  </si>
  <si>
    <t>QRコード・バーコードの値</t>
  </si>
  <si>
    <t>備考</t>
  </si>
  <si>
    <t>データ作成日</t>
  </si>
  <si>
    <t>データ更新日</t>
  </si>
  <si>
    <t>在庫番号</t>
  </si>
  <si>
    <t>メーカー</t>
  </si>
  <si>
    <t>型番</t>
  </si>
  <si>
    <t>メモリ</t>
  </si>
  <si>
    <t>HDD</t>
  </si>
  <si>
    <t>液晶</t>
  </si>
  <si>
    <t>カメラ</t>
  </si>
  <si>
    <t>DVD</t>
  </si>
  <si>
    <t>10キー</t>
  </si>
  <si>
    <t>無線LAN</t>
  </si>
  <si>
    <t>バッテリー</t>
  </si>
  <si>
    <t>あり</t>
  </si>
  <si>
    <t>販売値段</t>
    <phoneticPr fontId="1"/>
  </si>
  <si>
    <t>なし</t>
    <phoneticPr fontId="1"/>
  </si>
  <si>
    <t>外装ランク</t>
    <rPh sb="0" eb="2">
      <t>ガイソウ</t>
    </rPh>
    <phoneticPr fontId="1"/>
  </si>
  <si>
    <t>送料指定</t>
    <phoneticPr fontId="1"/>
  </si>
  <si>
    <t>★Sランク(美品)</t>
    <phoneticPr fontId="3" type="noConversion"/>
  </si>
  <si>
    <t>■Cランク(傷多)</t>
    <phoneticPr fontId="3" type="noConversion"/>
  </si>
  <si>
    <t>■Bランク(傷有)</t>
    <phoneticPr fontId="3" type="noConversion"/>
  </si>
  <si>
    <t>◆Aランク(傷少)</t>
    <phoneticPr fontId="3" type="noConversion"/>
  </si>
  <si>
    <t>※ジャンク(起動不可)</t>
    <phoneticPr fontId="3" type="noConversion"/>
  </si>
  <si>
    <t>※訳アリ(問題有)</t>
    <rPh sb="1" eb="2">
      <t>ﾜｹ</t>
    </rPh>
    <phoneticPr fontId="3" type="noConversion"/>
  </si>
  <si>
    <t>ノートブック、ノートパソコン</t>
  </si>
  <si>
    <t>4G</t>
    <phoneticPr fontId="1"/>
  </si>
  <si>
    <t>DVD ROM</t>
  </si>
  <si>
    <t>あり</t>
    <phoneticPr fontId="1"/>
  </si>
  <si>
    <t>充電可能</t>
    <rPh sb="0" eb="4">
      <t>ジュウデンカノウ</t>
    </rPh>
    <phoneticPr fontId="1"/>
  </si>
  <si>
    <t>★Sランク(美品)</t>
  </si>
  <si>
    <t>TOSHIBA　B554L</t>
    <phoneticPr fontId="1"/>
  </si>
  <si>
    <t>TOSHIBA</t>
    <phoneticPr fontId="1"/>
  </si>
  <si>
    <t>HP</t>
    <phoneticPr fontId="1"/>
  </si>
  <si>
    <t>B554L</t>
    <phoneticPr fontId="1"/>
  </si>
  <si>
    <t>I3-4000</t>
    <phoneticPr fontId="1"/>
  </si>
  <si>
    <t>I5-5200</t>
    <phoneticPr fontId="1"/>
  </si>
  <si>
    <t>I7-5600</t>
    <phoneticPr fontId="1"/>
  </si>
  <si>
    <t>820G2</t>
    <phoneticPr fontId="1"/>
  </si>
  <si>
    <t>HP　820G2</t>
    <phoneticPr fontId="1"/>
  </si>
  <si>
    <t>B35R</t>
    <phoneticPr fontId="1"/>
  </si>
  <si>
    <t>メルカリ カテゴリ</t>
    <phoneticPr fontId="1"/>
  </si>
  <si>
    <t>ラクマ カテゴリ</t>
    <phoneticPr fontId="1"/>
  </si>
  <si>
    <t>ジモティー カテゴリ</t>
    <phoneticPr fontId="1"/>
  </si>
  <si>
    <t>ヤフオク カテゴリ</t>
    <phoneticPr fontId="1"/>
  </si>
  <si>
    <t>ハードディスク</t>
    <phoneticPr fontId="1"/>
  </si>
  <si>
    <t>内蔵</t>
    <phoneticPr fontId="1"/>
  </si>
  <si>
    <t>家電・スマホ・カメラ</t>
    <phoneticPr fontId="1"/>
  </si>
  <si>
    <t>PC/タブレット</t>
    <phoneticPr fontId="1"/>
  </si>
  <si>
    <t>PC周辺機器</t>
    <phoneticPr fontId="1"/>
  </si>
  <si>
    <t>パソコン</t>
    <phoneticPr fontId="1"/>
  </si>
  <si>
    <t>周辺機器</t>
  </si>
  <si>
    <t>コンピュータ</t>
    <phoneticPr fontId="1"/>
  </si>
  <si>
    <t>周辺機器</t>
    <phoneticPr fontId="1"/>
  </si>
  <si>
    <t>-</t>
    <phoneticPr fontId="1"/>
  </si>
  <si>
    <t>外付け</t>
    <phoneticPr fontId="1"/>
  </si>
  <si>
    <t>SSD</t>
    <phoneticPr fontId="1"/>
  </si>
  <si>
    <t>256GB～</t>
    <phoneticPr fontId="1"/>
  </si>
  <si>
    <t>128GB～</t>
    <phoneticPr fontId="1"/>
  </si>
  <si>
    <t>周辺機器　</t>
    <phoneticPr fontId="1"/>
  </si>
  <si>
    <t>ブルーレイドライブ</t>
    <phoneticPr fontId="1"/>
  </si>
  <si>
    <t>DVDドライブ</t>
    <phoneticPr fontId="1"/>
  </si>
  <si>
    <t>モニタ</t>
    <phoneticPr fontId="1"/>
  </si>
  <si>
    <t>14インチ～</t>
    <phoneticPr fontId="1"/>
  </si>
  <si>
    <t>21インチ～</t>
    <phoneticPr fontId="1"/>
  </si>
  <si>
    <t>インクジェットプリンタ</t>
    <phoneticPr fontId="1"/>
  </si>
  <si>
    <t>プリンタ、プロッタ</t>
    <phoneticPr fontId="1"/>
  </si>
  <si>
    <t>インクジェットプリンタ</t>
  </si>
  <si>
    <t>エプソン</t>
  </si>
  <si>
    <t>コンピュータ</t>
  </si>
  <si>
    <t>プリンタ、プロッタ</t>
  </si>
  <si>
    <t>キャノン</t>
  </si>
  <si>
    <t>インクジェットカートリッジ</t>
  </si>
  <si>
    <t>HP</t>
  </si>
  <si>
    <t>サプライ</t>
  </si>
  <si>
    <t>プリンタ用サプライ</t>
  </si>
  <si>
    <t>ブラザー</t>
  </si>
  <si>
    <t>USBメモリ</t>
  </si>
  <si>
    <t>64GB</t>
  </si>
  <si>
    <t>記録用メモリ</t>
  </si>
  <si>
    <t>32GB</t>
  </si>
  <si>
    <t>16GB</t>
  </si>
  <si>
    <t>8GB</t>
  </si>
  <si>
    <t>SDHCメモリカード</t>
  </si>
  <si>
    <t>PCパーツ</t>
    <phoneticPr fontId="1"/>
  </si>
  <si>
    <t>SDメモリカード、MMC</t>
  </si>
  <si>
    <t>SDメモリカード</t>
  </si>
  <si>
    <t>インテル</t>
  </si>
  <si>
    <t>Core i3</t>
  </si>
  <si>
    <t>パーツ</t>
  </si>
  <si>
    <t>Core i5</t>
  </si>
  <si>
    <t>Core i7</t>
  </si>
  <si>
    <t>Celeron</t>
  </si>
  <si>
    <t>Pentium</t>
  </si>
  <si>
    <t>Xeon</t>
  </si>
  <si>
    <t>デスクトップ用 DDR3 SDRAM</t>
    <phoneticPr fontId="1"/>
  </si>
  <si>
    <t>デスクトップ用</t>
  </si>
  <si>
    <t>DIMM</t>
  </si>
  <si>
    <t>DDR3 SDRAM</t>
    <phoneticPr fontId="1"/>
  </si>
  <si>
    <t>4GB</t>
  </si>
  <si>
    <t>DDR3 SDRAM</t>
  </si>
  <si>
    <t>2GB</t>
  </si>
  <si>
    <t>ノートパソコン用-DDR3 SDRAM</t>
    <rPh sb="7" eb="8">
      <t>ヨウ</t>
    </rPh>
    <phoneticPr fontId="1"/>
  </si>
  <si>
    <t>ノートパソコン用</t>
  </si>
  <si>
    <t>SO-DIMM</t>
  </si>
  <si>
    <t>ノートパソコン用ACアダプタ</t>
  </si>
  <si>
    <t>HP、コンパック</t>
  </si>
  <si>
    <t>電源、ACアダプタ</t>
  </si>
  <si>
    <t>IBM、レノボ</t>
  </si>
  <si>
    <t>NEC</t>
  </si>
  <si>
    <t>ソニー</t>
  </si>
  <si>
    <t>デル</t>
  </si>
  <si>
    <t>パナソニック、松下電器産業</t>
  </si>
  <si>
    <t>富士通</t>
  </si>
  <si>
    <t>日立</t>
  </si>
  <si>
    <t>東芝</t>
  </si>
  <si>
    <t>ノートパソコン用ACアダプタ</t>
    <phoneticPr fontId="1"/>
  </si>
  <si>
    <t>その他</t>
  </si>
  <si>
    <t>パーツ</t>
    <phoneticPr fontId="1"/>
  </si>
  <si>
    <t>電源、ACアダプタ</t>
    <phoneticPr fontId="1"/>
  </si>
  <si>
    <t>デスクトップ</t>
    <phoneticPr fontId="1"/>
  </si>
  <si>
    <t>DELL</t>
    <phoneticPr fontId="1"/>
  </si>
  <si>
    <t>デスクトップ型PC</t>
    <phoneticPr fontId="1"/>
  </si>
  <si>
    <t>スマホ/家電/カメラ</t>
    <phoneticPr fontId="1"/>
  </si>
  <si>
    <t>Windows</t>
    <phoneticPr fontId="1"/>
  </si>
  <si>
    <t>デル</t>
    <phoneticPr fontId="1"/>
  </si>
  <si>
    <t>パソコン単体</t>
    <phoneticPr fontId="1"/>
  </si>
  <si>
    <t>FUJITSU</t>
    <phoneticPr fontId="1"/>
  </si>
  <si>
    <t>富士通</t>
    <rPh sb="0" eb="3">
      <t>フジツウ</t>
    </rPh>
    <phoneticPr fontId="1"/>
  </si>
  <si>
    <t>パソコン単体</t>
    <rPh sb="4" eb="6">
      <t>タンタイ</t>
    </rPh>
    <phoneticPr fontId="1"/>
  </si>
  <si>
    <t>NEC</t>
    <phoneticPr fontId="1"/>
  </si>
  <si>
    <t>SONY</t>
    <phoneticPr fontId="1"/>
  </si>
  <si>
    <t>ソニー</t>
    <phoneticPr fontId="1"/>
  </si>
  <si>
    <t>フロンティア</t>
    <phoneticPr fontId="1"/>
  </si>
  <si>
    <t>マウスコンピューター</t>
    <phoneticPr fontId="1"/>
  </si>
  <si>
    <t>Lenovo</t>
    <phoneticPr fontId="1"/>
  </si>
  <si>
    <t>レノボ</t>
    <phoneticPr fontId="1"/>
  </si>
  <si>
    <t>DynabookとTOSHIBA</t>
    <phoneticPr fontId="1"/>
  </si>
  <si>
    <t>東芝</t>
    <rPh sb="0" eb="2">
      <t>トウシバ</t>
    </rPh>
    <phoneticPr fontId="1"/>
  </si>
  <si>
    <t>シャープ</t>
    <phoneticPr fontId="1"/>
  </si>
  <si>
    <t>シャープ</t>
  </si>
  <si>
    <t>日立</t>
    <phoneticPr fontId="1"/>
  </si>
  <si>
    <t>日立</t>
    <rPh sb="0" eb="2">
      <t>ヒタチ</t>
    </rPh>
    <phoneticPr fontId="1"/>
  </si>
  <si>
    <t>EPSON</t>
    <phoneticPr fontId="1"/>
  </si>
  <si>
    <t>エプソン</t>
    <phoneticPr fontId="1"/>
  </si>
  <si>
    <t>ASUS</t>
    <phoneticPr fontId="1"/>
  </si>
  <si>
    <t>ノートパソコン</t>
    <phoneticPr fontId="1"/>
  </si>
  <si>
    <t>13インチ～</t>
    <phoneticPr fontId="1"/>
  </si>
  <si>
    <t>ACER</t>
    <phoneticPr fontId="1"/>
  </si>
  <si>
    <t>エイサー</t>
    <phoneticPr fontId="1"/>
  </si>
  <si>
    <t>Panasonic</t>
    <phoneticPr fontId="1"/>
  </si>
  <si>
    <t>パナソニック、松下電器産業</t>
    <rPh sb="7" eb="9">
      <t>マツシタ</t>
    </rPh>
    <rPh sb="9" eb="11">
      <t>デンキ</t>
    </rPh>
    <rPh sb="11" eb="13">
      <t>サンギョウ</t>
    </rPh>
    <phoneticPr fontId="1"/>
  </si>
  <si>
    <t>12インチ～</t>
    <phoneticPr fontId="1"/>
  </si>
  <si>
    <t>Dynabook</t>
    <phoneticPr fontId="7"/>
  </si>
  <si>
    <t>カテゴリ1</t>
    <phoneticPr fontId="1"/>
  </si>
  <si>
    <t>カテゴリ2</t>
    <phoneticPr fontId="1"/>
  </si>
  <si>
    <t>-</t>
  </si>
  <si>
    <t>ハードディスク</t>
  </si>
  <si>
    <t>SSD</t>
  </si>
  <si>
    <t>ブルーレイドライブ</t>
  </si>
  <si>
    <t>DVDドライブ</t>
  </si>
  <si>
    <t>モニタ</t>
  </si>
  <si>
    <t>デスクトップ</t>
  </si>
  <si>
    <t>カテゴリ２</t>
    <phoneticPr fontId="1"/>
  </si>
  <si>
    <t xml:space="preserve">DDR3 SDRAM デスクトップ用 </t>
    <phoneticPr fontId="1"/>
  </si>
  <si>
    <t>DDR3 SDRAM ノートパソコン用</t>
    <phoneticPr fontId="1"/>
  </si>
  <si>
    <t>ACアダプタ ノートパソコン用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</si>
</sst>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FF0000"/>
      <name val="ＭＳ ゴシック"/>
      <family val="3"/>
      <charset val="128"/>
    </font>
    <font>
      <sz val="9"/>
      <name val="游ゴシック"/>
      <family val="3"/>
      <charset val="134"/>
      <scheme val="minor"/>
    </font>
    <font>
      <sz val="11"/>
      <color theme="1"/>
      <name val="Yu Gothic"/>
      <family val="2"/>
      <charset val="128"/>
    </font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6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0" fontId="2" fillId="0" borderId="0" xfId="0" applyFont="1" applyAlignment="1"/>
    <xf numFmtId="22" fontId="0" fillId="0" borderId="0" xfId="0" applyNumberFormat="1">
      <alignment vertical="center"/>
    </xf>
    <xf numFmtId="0" fontId="0" fillId="0" borderId="0" xfId="0" applyFill="1">
      <alignment vertical="center"/>
    </xf>
    <xf numFmtId="0" fontId="2" fillId="0" borderId="0" xfId="0" applyFont="1" applyFill="1" applyAlignment="1"/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0" fontId="5" fillId="4" borderId="1" xfId="1" applyFill="1" applyBorder="1" applyAlignment="1">
      <alignment horizontal="center" vertical="center"/>
    </xf>
    <xf numFmtId="0" fontId="5" fillId="5" borderId="1" xfId="1" applyFill="1" applyBorder="1" applyAlignment="1">
      <alignment horizontal="center" vertical="center"/>
    </xf>
    <xf numFmtId="0" fontId="5" fillId="6" borderId="1" xfId="1" applyFill="1" applyBorder="1" applyAlignment="1">
      <alignment horizontal="center" vertical="center"/>
    </xf>
    <xf numFmtId="0" fontId="5" fillId="7" borderId="2" xfId="1" applyFill="1" applyBorder="1" applyAlignment="1">
      <alignment horizontal="center" vertical="center"/>
    </xf>
    <xf numFmtId="0" fontId="5" fillId="7" borderId="3" xfId="1" applyFill="1" applyBorder="1" applyAlignment="1">
      <alignment horizontal="center" vertical="center"/>
    </xf>
    <xf numFmtId="0" fontId="5" fillId="7" borderId="4" xfId="1" applyFill="1" applyBorder="1" applyAlignment="1">
      <alignment horizontal="center" vertical="center"/>
    </xf>
    <xf numFmtId="0" fontId="5" fillId="0" borderId="0" xfId="1">
      <alignment vertical="center"/>
    </xf>
    <xf numFmtId="0" fontId="5" fillId="8" borderId="1" xfId="1" applyFill="1" applyBorder="1">
      <alignment vertical="center"/>
    </xf>
    <xf numFmtId="0" fontId="5" fillId="4" borderId="1" xfId="1" applyFill="1" applyBorder="1">
      <alignment vertical="center"/>
    </xf>
    <xf numFmtId="0" fontId="5" fillId="5" borderId="1" xfId="1" applyFill="1" applyBorder="1">
      <alignment vertical="center"/>
    </xf>
    <xf numFmtId="0" fontId="5" fillId="6" borderId="1" xfId="1" applyFill="1" applyBorder="1">
      <alignment vertical="center"/>
    </xf>
    <xf numFmtId="0" fontId="5" fillId="7" borderId="1" xfId="1" applyFill="1" applyBorder="1">
      <alignment vertical="center"/>
    </xf>
    <xf numFmtId="0" fontId="5" fillId="0" borderId="1" xfId="1" applyBorder="1">
      <alignment vertical="center"/>
    </xf>
    <xf numFmtId="0" fontId="6" fillId="3" borderId="0" xfId="1" applyFont="1" applyFill="1">
      <alignment vertical="center"/>
    </xf>
    <xf numFmtId="0" fontId="6" fillId="9" borderId="0" xfId="1" applyFont="1" applyFill="1">
      <alignment vertical="center"/>
    </xf>
    <xf numFmtId="0" fontId="6" fillId="9" borderId="1" xfId="1" applyFont="1" applyFill="1" applyBorder="1">
      <alignment vertical="center"/>
    </xf>
    <xf numFmtId="0" fontId="0" fillId="7" borderId="5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</cellXfs>
  <cellStyles count="2">
    <cellStyle name="標準" xfId="0" builtinId="0"/>
    <cellStyle name="標準 4" xfId="1" xr:uid="{AA9C08D2-141B-4007-B832-A66E690C5D5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61D8-87E8-4535-8453-A275CB106D05}">
  <sheetPr codeName="Sheet1"/>
  <dimension ref="A1:Z34"/>
  <sheetViews>
    <sheetView tabSelected="1" workbookViewId="0">
      <pane ySplit="1" topLeftCell="A2" activePane="bottomLeft" state="frozen"/>
      <selection activeCell="D1" sqref="D1"/>
      <selection pane="bottomLeft" activeCell="A4" sqref="A4"/>
    </sheetView>
  </sheetViews>
  <sheetFormatPr defaultRowHeight="18"/>
  <cols>
    <col min="4" max="4" width="9" style="1"/>
    <col min="20" max="20" width="29.59765625" style="27" bestFit="1" customWidth="1"/>
    <col min="21" max="21" width="29.59765625" style="26" bestFit="1" customWidth="1"/>
    <col min="24" max="24" width="9.3984375" style="8" bestFit="1" customWidth="1"/>
    <col min="25" max="25" width="9.3984375" style="8" hidden="1" customWidth="1"/>
  </cols>
  <sheetData>
    <row r="1" spans="1:26" s="1" customFormat="1" ht="33" customHeight="1">
      <c r="A1" s="5" t="str">
        <f>貼り付け!L1</f>
        <v>在庫番号</v>
      </c>
      <c r="B1" s="5" t="str">
        <f>貼り付け!M1</f>
        <v>販売値段</v>
      </c>
      <c r="C1" s="6" t="str">
        <f>D1&amp;" "&amp;"Windows10 pro 64bit"&amp;" "&amp;D1&amp;" "&amp;F1&amp;" "&amp;G1&amp;" "&amp;"["&amp;H1&amp;"/"&amp;I1&amp;"/"&amp;J1&amp;"]"&amp;" "&amp;"Office付き"&amp;" "&amp;T1&amp;"["&amp;A1&amp;"]"</f>
        <v>外装ランク Windows10 pro 64bit 外装ランク メーカー 型番 [CPU/メモリ/HDD] Office付き カテゴリ1[在庫番号]</v>
      </c>
      <c r="D1" s="1" t="str">
        <f>貼り付け!Z1</f>
        <v>外装ランク</v>
      </c>
      <c r="E1" s="5" t="str">
        <f>貼り付け!P1</f>
        <v>状態</v>
      </c>
      <c r="F1" s="5" t="str">
        <f>貼り付け!N1</f>
        <v>メーカー</v>
      </c>
      <c r="G1" s="5" t="str">
        <f>貼り付け!O1</f>
        <v>型番</v>
      </c>
      <c r="H1" s="5" t="str">
        <f>貼り付け!Q1</f>
        <v>CPU</v>
      </c>
      <c r="I1" s="5" t="str">
        <f>貼り付け!R1</f>
        <v>メモリ</v>
      </c>
      <c r="J1" s="5" t="str">
        <f>貼り付け!S1</f>
        <v>HDD</v>
      </c>
      <c r="K1" s="5" t="str">
        <f>貼り付け!W1</f>
        <v>10キー</v>
      </c>
      <c r="L1" s="5" t="str">
        <f>貼り付け!U1</f>
        <v>カメラ</v>
      </c>
      <c r="M1" s="5" t="str">
        <f>貼り付け!V1</f>
        <v>DVD</v>
      </c>
      <c r="N1" s="5" t="str">
        <f>貼り付け!X1</f>
        <v>無線LAN</v>
      </c>
      <c r="O1" s="5" t="str">
        <f>貼り付け!Y1</f>
        <v>バッテリー</v>
      </c>
      <c r="P1" s="5" t="str">
        <f>貼り付け!P1</f>
        <v>状態</v>
      </c>
      <c r="Q1" s="5" t="str">
        <f>貼り付け!T1</f>
        <v>液晶</v>
      </c>
      <c r="R1" s="5" t="str">
        <f>IF(U1="デスクトップ","電源コード","ACアダプタ")</f>
        <v>ACアダプタ</v>
      </c>
      <c r="S1" s="5"/>
      <c r="T1" s="27" t="s">
        <v>207</v>
      </c>
      <c r="U1" s="25" t="s">
        <v>208</v>
      </c>
      <c r="V1" s="5" t="str">
        <f>貼り付け!L1</f>
        <v>在庫番号</v>
      </c>
      <c r="W1" s="5" t="str">
        <f>貼り付け!AA1</f>
        <v>送料指定</v>
      </c>
      <c r="X1" s="7" t="str">
        <f>貼り付け!M1</f>
        <v>販売値段</v>
      </c>
      <c r="Y1" s="7" t="e">
        <f t="shared" ref="Y1" si="0">X1*2.2</f>
        <v>#VALUE!</v>
      </c>
      <c r="Z1" s="5" t="str">
        <f>D1&amp;" "&amp;"Win10"&amp;" "&amp;F1&amp;" "&amp;G1&amp;"["&amp;A1&amp;"]"</f>
        <v>外装ランク Win10 メーカー 型番[在庫番号]</v>
      </c>
    </row>
    <row r="2" spans="1:26" s="1" customFormat="1" ht="37.5" customHeight="1">
      <c r="A2" s="5">
        <f>貼り付け!L2</f>
        <v>452</v>
      </c>
      <c r="B2" s="5">
        <f>貼り付け!M2</f>
        <v>15000</v>
      </c>
      <c r="C2" s="6" t="str">
        <f>D2&amp;" "&amp;"Windows10 pro 64bit"&amp;" "&amp;F2&amp;" "&amp;G2&amp;" "&amp;"["&amp;H2&amp;"/"&amp;I2&amp;"/"&amp;J2&amp;"]"&amp;" "&amp;"Office付き"&amp;" "&amp;T2&amp;"["&amp;A2&amp;"]"</f>
        <v>★Sランク(美品) Windows10 pro 64bit TOSHIBA B554L [I3-4000/4G/なし] Office付き ノートブック、ノートパソコン[452]</v>
      </c>
      <c r="D2" s="1" t="str">
        <f>貼り付け!Z2</f>
        <v>★Sランク(美品)</v>
      </c>
      <c r="E2" s="5" t="str">
        <f>貼り付け!P2</f>
        <v>写真を参考ください</v>
      </c>
      <c r="F2" s="5" t="str">
        <f>貼り付け!N2</f>
        <v>TOSHIBA</v>
      </c>
      <c r="G2" s="5" t="str">
        <f>貼り付け!O2</f>
        <v>B554L</v>
      </c>
      <c r="H2" s="5" t="str">
        <f>貼り付け!Q2</f>
        <v>I3-4000</v>
      </c>
      <c r="I2" s="5" t="str">
        <f>貼り付け!R2</f>
        <v>4G</v>
      </c>
      <c r="J2" s="5" t="str">
        <f>貼り付け!S2</f>
        <v>なし</v>
      </c>
      <c r="K2" s="5" t="str">
        <f>貼り付け!W2</f>
        <v>なし</v>
      </c>
      <c r="L2" s="5" t="str">
        <f>貼り付け!U2</f>
        <v>なし</v>
      </c>
      <c r="M2" s="5" t="str">
        <f>貼り付け!V2</f>
        <v>DVD ROM</v>
      </c>
      <c r="N2" s="5" t="str">
        <f>貼り付け!X2</f>
        <v>なし</v>
      </c>
      <c r="O2" s="5" t="str">
        <f>貼り付け!Y2</f>
        <v>充電可能</v>
      </c>
      <c r="P2" s="5" t="str">
        <f>貼り付け!P2</f>
        <v>写真を参考ください</v>
      </c>
      <c r="Q2" s="5" t="str">
        <f>貼り付け!T2</f>
        <v>問題無し</v>
      </c>
      <c r="R2" s="5" t="str">
        <f t="shared" ref="R2" si="1">IF(U2="デスクトップ","電源コード","ACアダプタ")</f>
        <v>ACアダプタ</v>
      </c>
      <c r="S2" s="5"/>
      <c r="T2" s="27" t="s">
        <v>78</v>
      </c>
      <c r="U2" s="26" t="s">
        <v>107</v>
      </c>
      <c r="V2" s="5" t="s">
        <v>209</v>
      </c>
      <c r="W2" s="5">
        <f>貼り付け!AA2</f>
        <v>0</v>
      </c>
      <c r="X2" s="7">
        <f>貼り付け!M2</f>
        <v>15000</v>
      </c>
      <c r="Y2" s="7" t="s">
        <v>209</v>
      </c>
      <c r="Z2" s="5" t="str">
        <f t="shared" ref="Z2" si="2">D2&amp;" "&amp;"Win10"&amp;" "&amp;F2&amp;" "&amp;G2&amp;"["&amp;A2&amp;"]"</f>
        <v>★Sランク(美品) Win10 TOSHIBA B554L[452]</v>
      </c>
    </row>
    <row r="3" spans="1:26" s="1" customFormat="1" ht="37.5" customHeight="1">
      <c r="A3" s="5">
        <f>貼り付け!L3</f>
        <v>453</v>
      </c>
      <c r="B3" s="5">
        <f>貼り付け!M3</f>
        <v>22000</v>
      </c>
      <c r="C3" s="6" t="str">
        <f t="shared" ref="C3:C4" si="3">D3&amp;" "&amp;"Windows10 pro 64bit"&amp;" "&amp;F3&amp;" "&amp;G3&amp;" "&amp;"["&amp;H3&amp;"/"&amp;I3&amp;"/"&amp;J3&amp;"]"&amp;" "&amp;"Office付き"&amp;" "&amp;T3&amp;"["&amp;A3&amp;"]"</f>
        <v>★Sランク(美品) Windows10 pro 64bit TOSHIBA B35R [I5-5200/4G/なし] Office付き ノートブック、ノートパソコン[453]</v>
      </c>
      <c r="D3" s="1" t="str">
        <f>貼り付け!Z3</f>
        <v>★Sランク(美品)</v>
      </c>
      <c r="E3" s="5" t="str">
        <f>貼り付け!P3</f>
        <v>写真を参考ください</v>
      </c>
      <c r="F3" s="5" t="str">
        <f>貼り付け!N3</f>
        <v>TOSHIBA</v>
      </c>
      <c r="G3" s="5" t="str">
        <f>貼り付け!O3</f>
        <v>B35R</v>
      </c>
      <c r="H3" s="5" t="str">
        <f>貼り付け!Q3</f>
        <v>I5-5200</v>
      </c>
      <c r="I3" s="5" t="str">
        <f>貼り付け!R3</f>
        <v>4G</v>
      </c>
      <c r="J3" s="5" t="str">
        <f>貼り付け!S3</f>
        <v>なし</v>
      </c>
      <c r="K3" s="5" t="str">
        <f>貼り付け!W3</f>
        <v>あり</v>
      </c>
      <c r="L3" s="5" t="str">
        <f>貼り付け!U3</f>
        <v>なし</v>
      </c>
      <c r="M3" s="5" t="str">
        <f>貼り付け!V3</f>
        <v>DVD ROM</v>
      </c>
      <c r="N3" s="5" t="str">
        <f>貼り付け!X3</f>
        <v>あり</v>
      </c>
      <c r="O3" s="5" t="str">
        <f>貼り付け!Y3</f>
        <v>充電可能</v>
      </c>
      <c r="P3" s="5" t="str">
        <f>貼り付け!P3</f>
        <v>写真を参考ください</v>
      </c>
      <c r="Q3" s="5" t="str">
        <f>貼り付け!T3</f>
        <v>問題無し</v>
      </c>
      <c r="R3" s="5" t="str">
        <f t="shared" ref="R3:R4" si="4">IF(U3="デスクトップ","電源コード","ACアダプタ")</f>
        <v>ACアダプタ</v>
      </c>
      <c r="S3" s="5"/>
      <c r="T3" s="27" t="s">
        <v>78</v>
      </c>
      <c r="U3" s="26" t="s">
        <v>107</v>
      </c>
      <c r="V3" s="5">
        <f>貼り付け!L3</f>
        <v>453</v>
      </c>
      <c r="W3" s="5">
        <f>貼り付け!AA3</f>
        <v>0</v>
      </c>
      <c r="X3" s="7">
        <f>貼り付け!M3</f>
        <v>22000</v>
      </c>
      <c r="Y3" s="7">
        <f t="shared" ref="Y3:Y4" si="5">X3*2.2</f>
        <v>48400.000000000007</v>
      </c>
      <c r="Z3" s="5" t="str">
        <f t="shared" ref="Z3:Z4" si="6">D3&amp;" "&amp;"Win10"&amp;" "&amp;F3&amp;" "&amp;G3&amp;"["&amp;A3&amp;"]"</f>
        <v>★Sランク(美品) Win10 TOSHIBA B35R[453]</v>
      </c>
    </row>
    <row r="4" spans="1:26" s="1" customFormat="1" ht="37.5" customHeight="1">
      <c r="A4" s="5">
        <f>貼り付け!L4</f>
        <v>454</v>
      </c>
      <c r="B4" s="5">
        <f>貼り付け!M4</f>
        <v>35000</v>
      </c>
      <c r="C4" s="6" t="str">
        <f t="shared" si="3"/>
        <v>★Sランク(美品) Windows10 pro 64bit HP 820G2 [I7-5600/4G/なし] Office付き ノートブック、ノートパソコン[454]</v>
      </c>
      <c r="D4" s="1" t="str">
        <f>貼り付け!Z4</f>
        <v>★Sランク(美品)</v>
      </c>
      <c r="E4" s="5" t="str">
        <f>貼り付け!P4</f>
        <v>写真を参考ください</v>
      </c>
      <c r="F4" s="5" t="str">
        <f>貼り付け!N4</f>
        <v>HP</v>
      </c>
      <c r="G4" s="5" t="str">
        <f>貼り付け!O4</f>
        <v>820G2</v>
      </c>
      <c r="H4" s="5" t="str">
        <f>貼り付け!Q4</f>
        <v>I7-5600</v>
      </c>
      <c r="I4" s="5" t="str">
        <f>貼り付け!R4</f>
        <v>4G</v>
      </c>
      <c r="J4" s="5" t="str">
        <f>貼り付け!S4</f>
        <v>なし</v>
      </c>
      <c r="K4" s="5" t="str">
        <f>貼り付け!W4</f>
        <v>なし</v>
      </c>
      <c r="L4" s="5" t="str">
        <f>貼り付け!U4</f>
        <v>あり</v>
      </c>
      <c r="M4" s="5" t="str">
        <f>貼り付け!V4</f>
        <v>なし</v>
      </c>
      <c r="N4" s="5" t="str">
        <f>貼り付け!X4</f>
        <v>あり</v>
      </c>
      <c r="O4" s="5" t="str">
        <f>貼り付け!Y4</f>
        <v>充電可能</v>
      </c>
      <c r="P4" s="5" t="str">
        <f>貼り付け!P4</f>
        <v>写真を参考ください</v>
      </c>
      <c r="Q4" s="5" t="str">
        <f>貼り付け!T4</f>
        <v>問題無し</v>
      </c>
      <c r="R4" s="5" t="str">
        <f t="shared" si="4"/>
        <v>ACアダプタ</v>
      </c>
      <c r="S4" s="5"/>
      <c r="T4" s="27" t="s">
        <v>78</v>
      </c>
      <c r="U4" s="26" t="s">
        <v>107</v>
      </c>
      <c r="V4" s="5">
        <f>貼り付け!L4</f>
        <v>454</v>
      </c>
      <c r="W4" s="5">
        <f>貼り付け!AA4</f>
        <v>0</v>
      </c>
      <c r="X4" s="7">
        <f>貼り付け!M4</f>
        <v>35000</v>
      </c>
      <c r="Y4" s="7">
        <f t="shared" si="5"/>
        <v>77000</v>
      </c>
      <c r="Z4" s="5" t="str">
        <f t="shared" si="6"/>
        <v>★Sランク(美品) Win10 HP 820G2[454]</v>
      </c>
    </row>
    <row r="5" spans="1:26" s="1" customFormat="1" ht="33" customHeight="1">
      <c r="A5" s="5"/>
      <c r="B5" s="5"/>
      <c r="C5" s="6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27"/>
      <c r="U5" s="26"/>
      <c r="V5" s="5"/>
      <c r="W5" s="5"/>
      <c r="X5" s="7"/>
      <c r="Y5" s="7"/>
      <c r="Z5" s="5"/>
    </row>
    <row r="6" spans="1:26" s="1" customFormat="1" ht="33" customHeight="1">
      <c r="A6" s="5"/>
      <c r="B6" s="5"/>
      <c r="C6" s="6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27"/>
      <c r="U6" s="26"/>
      <c r="V6" s="5"/>
      <c r="W6" s="5"/>
      <c r="X6" s="7"/>
      <c r="Y6" s="7"/>
      <c r="Z6" s="5"/>
    </row>
    <row r="7" spans="1:26" s="1" customFormat="1" ht="32.25" customHeight="1">
      <c r="A7" s="5"/>
      <c r="B7" s="5"/>
      <c r="C7" s="6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27"/>
      <c r="U7" s="26"/>
      <c r="V7" s="5"/>
      <c r="W7" s="5"/>
      <c r="X7" s="7"/>
      <c r="Y7" s="7"/>
      <c r="Z7" s="5"/>
    </row>
    <row r="8" spans="1:26" s="1" customFormat="1" ht="32.25" customHeight="1">
      <c r="A8" s="5"/>
      <c r="B8" s="5"/>
      <c r="C8" s="6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27"/>
      <c r="U8" s="26"/>
      <c r="V8" s="5"/>
      <c r="W8" s="5"/>
      <c r="X8" s="7"/>
      <c r="Y8" s="7"/>
      <c r="Z8" s="5"/>
    </row>
    <row r="9" spans="1:26" s="1" customFormat="1" ht="32.25" customHeight="1">
      <c r="A9" s="5"/>
      <c r="B9" s="5"/>
      <c r="C9" s="6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27"/>
      <c r="U9" s="26"/>
      <c r="V9" s="5"/>
      <c r="W9" s="5"/>
      <c r="X9" s="7"/>
      <c r="Y9" s="7"/>
      <c r="Z9" s="5"/>
    </row>
    <row r="10" spans="1:26" s="1" customFormat="1" ht="32.25" customHeight="1">
      <c r="A10" s="5"/>
      <c r="B10" s="5"/>
      <c r="C10" s="6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27"/>
      <c r="U10" s="26"/>
      <c r="V10" s="5"/>
      <c r="W10" s="5"/>
      <c r="X10" s="7"/>
      <c r="Y10" s="7"/>
      <c r="Z10" s="5"/>
    </row>
    <row r="11" spans="1:26" s="1" customFormat="1" ht="32.25" customHeight="1">
      <c r="A11" s="5"/>
      <c r="B11" s="5"/>
      <c r="C11" s="6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27"/>
      <c r="U11" s="26"/>
      <c r="V11" s="5"/>
      <c r="W11" s="5"/>
      <c r="X11" s="7"/>
      <c r="Y11" s="7"/>
      <c r="Z11" s="5"/>
    </row>
    <row r="12" spans="1:26" s="1" customFormat="1" ht="32.25" customHeight="1">
      <c r="A12" s="5"/>
      <c r="B12" s="5"/>
      <c r="C12" s="6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27"/>
      <c r="U12" s="26"/>
      <c r="V12" s="5"/>
      <c r="W12" s="5"/>
      <c r="X12" s="7"/>
      <c r="Y12" s="7"/>
      <c r="Z12" s="5"/>
    </row>
    <row r="13" spans="1:26" s="1" customFormat="1" ht="32.25" customHeight="1">
      <c r="A13" s="5"/>
      <c r="B13" s="5"/>
      <c r="C13" s="6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27"/>
      <c r="U13" s="26"/>
      <c r="V13" s="5"/>
      <c r="W13" s="5"/>
      <c r="X13" s="7"/>
      <c r="Y13" s="7"/>
      <c r="Z13" s="5"/>
    </row>
    <row r="14" spans="1:26" s="1" customFormat="1" ht="32.25" customHeight="1">
      <c r="A14" s="5"/>
      <c r="B14" s="5"/>
      <c r="C14" s="6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27"/>
      <c r="U14" s="26"/>
      <c r="V14" s="5"/>
      <c r="W14" s="5"/>
      <c r="X14" s="7"/>
      <c r="Y14" s="7"/>
      <c r="Z14" s="5"/>
    </row>
    <row r="15" spans="1:26" s="1" customFormat="1" ht="32.25" customHeight="1">
      <c r="A15" s="5"/>
      <c r="B15" s="5"/>
      <c r="C15" s="6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27"/>
      <c r="U15" s="26"/>
      <c r="V15" s="5"/>
      <c r="W15" s="5"/>
      <c r="X15" s="7"/>
      <c r="Y15" s="7"/>
      <c r="Z15" s="5"/>
    </row>
    <row r="16" spans="1:26" s="1" customFormat="1" ht="32.25" customHeight="1">
      <c r="A16" s="5"/>
      <c r="B16" s="5"/>
      <c r="C16" s="6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27"/>
      <c r="U16" s="26"/>
      <c r="V16" s="5"/>
      <c r="W16" s="5"/>
      <c r="X16" s="7"/>
      <c r="Y16" s="7"/>
      <c r="Z16" s="5"/>
    </row>
    <row r="17" spans="1:26" s="1" customFormat="1" ht="32.25" customHeight="1">
      <c r="A17" s="5"/>
      <c r="B17" s="5"/>
      <c r="C17" s="6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7"/>
      <c r="U17" s="26"/>
      <c r="V17" s="5"/>
      <c r="W17" s="5"/>
      <c r="X17" s="7"/>
      <c r="Y17" s="7"/>
      <c r="Z17" s="5"/>
    </row>
    <row r="18" spans="1:26" s="1" customFormat="1" ht="32.25" customHeight="1">
      <c r="A18" s="5"/>
      <c r="B18" s="5"/>
      <c r="C18" s="6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27"/>
      <c r="U18" s="26"/>
      <c r="V18" s="5"/>
      <c r="W18" s="5"/>
      <c r="X18" s="7"/>
      <c r="Y18" s="7"/>
      <c r="Z18" s="5"/>
    </row>
    <row r="19" spans="1:26" s="1" customFormat="1" ht="32.25" customHeight="1">
      <c r="A19" s="5"/>
      <c r="B19" s="5"/>
      <c r="C19" s="6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27"/>
      <c r="U19" s="26"/>
      <c r="V19" s="5"/>
      <c r="W19" s="5"/>
      <c r="X19" s="7"/>
      <c r="Y19" s="7"/>
      <c r="Z19" s="5"/>
    </row>
    <row r="20" spans="1:26" s="1" customFormat="1" ht="32.25" customHeight="1">
      <c r="A20" s="5"/>
      <c r="B20" s="5"/>
      <c r="C20" s="6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27"/>
      <c r="U20" s="26"/>
      <c r="V20" s="5"/>
      <c r="W20" s="5"/>
      <c r="X20" s="7"/>
      <c r="Y20" s="7"/>
      <c r="Z20" s="5"/>
    </row>
    <row r="21" spans="1:26" s="1" customFormat="1" ht="32.25" customHeight="1">
      <c r="A21" s="5"/>
      <c r="B21" s="5"/>
      <c r="C21" s="6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27"/>
      <c r="U21" s="26"/>
      <c r="V21" s="5"/>
      <c r="W21" s="5"/>
      <c r="X21" s="7"/>
      <c r="Y21" s="7"/>
      <c r="Z21" s="5"/>
    </row>
    <row r="22" spans="1:26" s="1" customFormat="1" ht="32.25" customHeight="1">
      <c r="A22" s="5"/>
      <c r="B22" s="5"/>
      <c r="C22" s="6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27"/>
      <c r="U22" s="26"/>
      <c r="V22" s="5"/>
      <c r="W22" s="5"/>
      <c r="X22" s="7"/>
      <c r="Y22" s="7"/>
      <c r="Z22" s="5"/>
    </row>
    <row r="23" spans="1:26" s="1" customFormat="1" ht="32.25" customHeight="1">
      <c r="A23" s="5"/>
      <c r="B23" s="5"/>
      <c r="C23" s="6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27"/>
      <c r="U23" s="26"/>
      <c r="V23" s="5"/>
      <c r="W23" s="5"/>
      <c r="X23" s="7"/>
      <c r="Y23" s="7"/>
      <c r="Z23" s="5"/>
    </row>
    <row r="24" spans="1:26" s="1" customFormat="1" ht="32.25" customHeight="1">
      <c r="A24" s="5"/>
      <c r="B24" s="5"/>
      <c r="C24" s="6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27"/>
      <c r="U24" s="26"/>
      <c r="V24" s="5"/>
      <c r="W24" s="5"/>
      <c r="X24" s="7"/>
      <c r="Y24" s="7"/>
      <c r="Z24" s="5"/>
    </row>
    <row r="25" spans="1:26" s="1" customFormat="1" ht="32.25" customHeight="1">
      <c r="A25" s="5"/>
      <c r="B25" s="5"/>
      <c r="C25" s="6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27"/>
      <c r="U25" s="26"/>
      <c r="V25" s="5"/>
      <c r="W25" s="5"/>
      <c r="X25" s="7"/>
      <c r="Y25" s="7"/>
      <c r="Z25" s="5"/>
    </row>
    <row r="26" spans="1:26" s="1" customFormat="1" ht="32.25" customHeight="1">
      <c r="A26" s="5"/>
      <c r="B26" s="5"/>
      <c r="C26" s="6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27"/>
      <c r="U26" s="26"/>
      <c r="V26" s="5"/>
      <c r="W26" s="5"/>
      <c r="X26" s="7"/>
      <c r="Y26" s="7"/>
      <c r="Z26" s="5"/>
    </row>
    <row r="27" spans="1:26" s="1" customFormat="1" ht="32.25" customHeight="1">
      <c r="A27" s="5"/>
      <c r="B27" s="5"/>
      <c r="C27" s="6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27"/>
      <c r="U27" s="26"/>
      <c r="V27" s="5"/>
      <c r="W27" s="5"/>
      <c r="X27" s="7"/>
      <c r="Y27" s="7"/>
      <c r="Z27" s="5"/>
    </row>
    <row r="28" spans="1:26" s="1" customFormat="1" ht="32.25" customHeight="1">
      <c r="A28" s="5"/>
      <c r="B28" s="5"/>
      <c r="C28" s="6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27"/>
      <c r="U28" s="26"/>
      <c r="V28" s="5"/>
      <c r="W28" s="5"/>
      <c r="X28" s="7"/>
      <c r="Y28" s="7"/>
      <c r="Z28" s="5"/>
    </row>
    <row r="29" spans="1:26" s="1" customFormat="1" ht="32.25" customHeight="1">
      <c r="A29" s="5"/>
      <c r="B29" s="5"/>
      <c r="C29" s="6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27"/>
      <c r="U29" s="26"/>
      <c r="V29" s="5"/>
      <c r="W29" s="5"/>
      <c r="X29" s="7"/>
      <c r="Y29" s="7"/>
      <c r="Z29" s="5"/>
    </row>
    <row r="30" spans="1:26" s="1" customFormat="1" ht="32.25" customHeight="1">
      <c r="A30" s="5"/>
      <c r="B30" s="5"/>
      <c r="C30" s="6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27"/>
      <c r="U30" s="26"/>
      <c r="V30" s="5"/>
      <c r="W30" s="5"/>
      <c r="X30" s="7"/>
      <c r="Y30" s="7"/>
      <c r="Z30" s="5"/>
    </row>
    <row r="31" spans="1:26" s="1" customFormat="1" ht="32.25" customHeight="1">
      <c r="A31" s="5"/>
      <c r="B31" s="5"/>
      <c r="C31" s="6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27"/>
      <c r="U31" s="26"/>
      <c r="V31" s="5"/>
      <c r="W31" s="5"/>
      <c r="X31" s="7"/>
      <c r="Y31" s="7"/>
      <c r="Z31" s="5"/>
    </row>
    <row r="32" spans="1:26" s="1" customFormat="1" ht="32.25" customHeight="1">
      <c r="A32" s="5"/>
      <c r="B32" s="5"/>
      <c r="C32" s="6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27"/>
      <c r="U32" s="26"/>
      <c r="V32" s="5"/>
      <c r="W32" s="5"/>
      <c r="X32" s="7"/>
      <c r="Y32" s="7"/>
      <c r="Z32" s="5"/>
    </row>
    <row r="33" spans="1:26" s="1" customFormat="1" ht="32.25" customHeight="1">
      <c r="A33" s="5"/>
      <c r="B33" s="5"/>
      <c r="C33" s="6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27"/>
      <c r="U33" s="26"/>
      <c r="V33" s="5"/>
      <c r="W33" s="5"/>
      <c r="X33" s="7"/>
      <c r="Y33" s="7"/>
      <c r="Z33" s="5"/>
    </row>
    <row r="34" spans="1:26" s="1" customFormat="1" ht="32.25" customHeight="1">
      <c r="A34" s="5"/>
      <c r="B34" s="5"/>
      <c r="C34" s="6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27"/>
      <c r="U34" s="26"/>
      <c r="V34" s="5"/>
      <c r="W34" s="5"/>
      <c r="X34" s="7"/>
      <c r="Y34" s="7"/>
      <c r="Z34" s="5"/>
    </row>
  </sheetData>
  <phoneticPr fontId="1"/>
  <dataValidations count="2">
    <dataValidation type="list" allowBlank="1" showInputMessage="1" showErrorMessage="1" sqref="V2 Y2" xr:uid="{BC2B45FB-0799-45D7-948E-EBA6BC83F38E}">
      <formula1>"-"</formula1>
    </dataValidation>
    <dataValidation type="list" allowBlank="1" showInputMessage="1" showErrorMessage="1" sqref="U2:U3 U4" xr:uid="{38D7168D-DC15-49A8-BEDD-E9CBCE820BD9}">
      <formula1>"-,ASUS,HP,NEC,ACER,シャープ,SONY,DELL,Panasonic,Lenovo,DynabookとTOSHIBA,日立,FUJITSU,Dynabook"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C13A6FE-DE9B-49AB-9E71-AF8D8AEA42DB}">
          <x14:formula1>
            <xm:f>リスト!$J$1:$J$6</xm:f>
          </x14:formula1>
          <xm:sqref>D1:D1048576</xm:sqref>
        </x14:dataValidation>
        <x14:dataValidation type="list" allowBlank="1" showInputMessage="1" showErrorMessage="1" xr:uid="{16F99545-7F57-4657-964B-262779EDA571}">
          <x14:formula1>
            <xm:f>カテゴリ対応表!$A$2:$A$19</xm:f>
          </x14:formula1>
          <xm:sqref>T2:T4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13369-E962-4375-B92F-167D33C5A449}">
  <sheetPr codeName="Sheet2"/>
  <dimension ref="A1:AA19"/>
  <sheetViews>
    <sheetView workbookViewId="0">
      <selection activeCell="C2" sqref="C2"/>
    </sheetView>
  </sheetViews>
  <sheetFormatPr defaultRowHeight="18"/>
  <cols>
    <col min="2" max="2" width="15.19921875" customWidth="1"/>
    <col min="4" max="10" width="0" hidden="1" customWidth="1"/>
    <col min="11" max="11" width="17" customWidth="1"/>
    <col min="16" max="16" width="19.19921875" bestFit="1" customWidth="1"/>
    <col min="17" max="17" width="14.19921875" bestFit="1" customWidth="1"/>
    <col min="24" max="24" width="5" customWidth="1"/>
    <col min="25" max="25" width="15.09765625" bestFit="1" customWidth="1"/>
  </cols>
  <sheetData>
    <row r="1" spans="1:27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68</v>
      </c>
      <c r="N1" t="s">
        <v>57</v>
      </c>
      <c r="O1" t="s">
        <v>58</v>
      </c>
      <c r="P1" t="s">
        <v>49</v>
      </c>
      <c r="Q1" t="s">
        <v>4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70</v>
      </c>
      <c r="AA1" t="s">
        <v>71</v>
      </c>
    </row>
    <row r="2" spans="1:27">
      <c r="A2">
        <v>452</v>
      </c>
      <c r="B2" t="s">
        <v>84</v>
      </c>
      <c r="C2" t="s">
        <v>78</v>
      </c>
      <c r="L2">
        <v>452</v>
      </c>
      <c r="M2">
        <v>15000</v>
      </c>
      <c r="N2" t="s">
        <v>85</v>
      </c>
      <c r="O2" t="s">
        <v>87</v>
      </c>
      <c r="P2" t="s">
        <v>0</v>
      </c>
      <c r="Q2" t="s">
        <v>88</v>
      </c>
      <c r="R2" t="s">
        <v>79</v>
      </c>
      <c r="S2" t="s">
        <v>69</v>
      </c>
      <c r="T2" t="s">
        <v>6</v>
      </c>
      <c r="U2" t="s">
        <v>5</v>
      </c>
      <c r="V2" t="s">
        <v>80</v>
      </c>
      <c r="W2" t="s">
        <v>69</v>
      </c>
      <c r="X2" t="s">
        <v>5</v>
      </c>
      <c r="Y2" t="s">
        <v>82</v>
      </c>
      <c r="Z2" t="s">
        <v>83</v>
      </c>
    </row>
    <row r="3" spans="1:27">
      <c r="A3">
        <v>453</v>
      </c>
      <c r="B3" t="s">
        <v>84</v>
      </c>
      <c r="C3" t="s">
        <v>78</v>
      </c>
      <c r="L3">
        <v>453</v>
      </c>
      <c r="M3">
        <v>22000</v>
      </c>
      <c r="N3" t="s">
        <v>85</v>
      </c>
      <c r="O3" t="s">
        <v>93</v>
      </c>
      <c r="P3" t="s">
        <v>0</v>
      </c>
      <c r="Q3" t="s">
        <v>89</v>
      </c>
      <c r="R3" t="s">
        <v>79</v>
      </c>
      <c r="S3" t="s">
        <v>69</v>
      </c>
      <c r="T3" t="s">
        <v>6</v>
      </c>
      <c r="U3" t="s">
        <v>5</v>
      </c>
      <c r="V3" t="s">
        <v>80</v>
      </c>
      <c r="W3" t="s">
        <v>81</v>
      </c>
      <c r="X3" t="s">
        <v>67</v>
      </c>
      <c r="Y3" t="s">
        <v>82</v>
      </c>
      <c r="Z3" t="s">
        <v>83</v>
      </c>
    </row>
    <row r="4" spans="1:27">
      <c r="A4">
        <v>454</v>
      </c>
      <c r="B4" t="s">
        <v>92</v>
      </c>
      <c r="C4" t="s">
        <v>78</v>
      </c>
      <c r="L4">
        <v>454</v>
      </c>
      <c r="M4">
        <v>35000</v>
      </c>
      <c r="N4" t="s">
        <v>86</v>
      </c>
      <c r="O4" t="s">
        <v>91</v>
      </c>
      <c r="P4" t="s">
        <v>0</v>
      </c>
      <c r="Q4" t="s">
        <v>90</v>
      </c>
      <c r="R4" t="s">
        <v>79</v>
      </c>
      <c r="S4" t="s">
        <v>69</v>
      </c>
      <c r="T4" t="s">
        <v>6</v>
      </c>
      <c r="U4" t="s">
        <v>67</v>
      </c>
      <c r="V4" t="s">
        <v>5</v>
      </c>
      <c r="W4" t="s">
        <v>69</v>
      </c>
      <c r="X4" t="s">
        <v>67</v>
      </c>
      <c r="Y4" t="s">
        <v>82</v>
      </c>
      <c r="Z4" t="s">
        <v>83</v>
      </c>
    </row>
    <row r="7" spans="1:27">
      <c r="J7" s="4"/>
      <c r="K7" s="4"/>
    </row>
    <row r="8" spans="1:27">
      <c r="J8" s="4"/>
      <c r="K8" s="4"/>
    </row>
    <row r="9" spans="1:27">
      <c r="J9" s="4"/>
      <c r="K9" s="4"/>
    </row>
    <row r="10" spans="1:27">
      <c r="J10" s="4"/>
      <c r="K10" s="4"/>
    </row>
    <row r="11" spans="1:27">
      <c r="J11" s="4"/>
      <c r="K11" s="4"/>
    </row>
    <row r="12" spans="1:27">
      <c r="J12" s="4"/>
      <c r="K12" s="4"/>
    </row>
    <row r="13" spans="1:27">
      <c r="J13" s="4"/>
      <c r="K13" s="4"/>
    </row>
    <row r="14" spans="1:27">
      <c r="J14" s="4"/>
      <c r="K14" s="4"/>
    </row>
    <row r="15" spans="1:27">
      <c r="J15" s="4"/>
      <c r="K15" s="4"/>
    </row>
    <row r="16" spans="1:27">
      <c r="J16" s="4"/>
      <c r="K16" s="4"/>
    </row>
    <row r="17" spans="10:11">
      <c r="J17" s="4"/>
      <c r="K17" s="4"/>
    </row>
    <row r="18" spans="10:11">
      <c r="J18" s="4"/>
      <c r="K18" s="4"/>
    </row>
    <row r="19" spans="10:11">
      <c r="J19" s="4"/>
      <c r="K19" s="4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xr:uid="{159E285F-D800-448A-9BF8-F8629E45DF3B}">
          <x14:formula1>
            <xm:f>リスト!$L$1:$L$4</xm:f>
          </x14:formula1>
          <xm:sqref>S21 T13:T1048576 T1:T10</xm:sqref>
        </x14:dataValidation>
        <x14:dataValidation type="list" allowBlank="1" showInputMessage="1" xr:uid="{36A9FB7A-5E43-4D3D-B311-8E0AF6344D78}">
          <x14:formula1>
            <xm:f>リスト!$K$1:$K$2</xm:f>
          </x14:formula1>
          <xm:sqref>U13:U1048576 X2:X12 W13:X1048576 W3:W10 W1:X1 U1:U10</xm:sqref>
        </x14:dataValidation>
        <x14:dataValidation type="list" allowBlank="1" showInputMessage="1" xr:uid="{D5D7FE25-4FF3-4538-9367-7C4C39855DEC}">
          <x14:formula1>
            <xm:f>リスト!$H$1:$H$3</xm:f>
          </x14:formula1>
          <xm:sqref>V13:V1048576 V1:V10</xm:sqref>
        </x14:dataValidation>
        <x14:dataValidation type="list" allowBlank="1" showInputMessage="1" xr:uid="{58F93623-BA62-40DB-A8B0-AE36FD01267A}">
          <x14:formula1>
            <xm:f>リスト!$I$1:$I$2</xm:f>
          </x14:formula1>
          <xm:sqref>Y13:Y1048576 Y1 Y7:Y10</xm:sqref>
        </x14:dataValidation>
        <x14:dataValidation type="list" allowBlank="1" showInputMessage="1" xr:uid="{F91458E4-CDF2-4F65-8942-670980C869B1}">
          <x14:formula1>
            <xm:f>リスト!$F$1:$F$6</xm:f>
          </x14:formula1>
          <xm:sqref>P13:P1048576 P1:P10</xm:sqref>
        </x14:dataValidation>
        <x14:dataValidation type="list" allowBlank="1" showInputMessage="1" xr:uid="{A71BB7C7-D764-4165-8086-662B43CD2C3E}">
          <x14:formula1>
            <xm:f>リスト!$E$1</xm:f>
          </x14:formula1>
          <xm:sqref>Q13:Q1048576 Q3:Q10 Q1</xm:sqref>
        </x14:dataValidation>
        <x14:dataValidation type="list" allowBlank="1" showInputMessage="1" xr:uid="{6BCD3A4F-5EE0-4772-B0E9-5D0E991507B2}">
          <x14:formula1>
            <xm:f>リスト!$J$1:$J$6</xm:f>
          </x14:formula1>
          <xm:sqref>Z1:Z1048576</xm:sqref>
        </x14:dataValidation>
        <x14:dataValidation type="list" allowBlank="1" showInputMessage="1" xr:uid="{5F706E16-BF29-4395-9FEB-C0EFCA74DCA9}">
          <x14:formula1>
            <xm:f>リスト!$G$1:$G$2</xm:f>
          </x14:formula1>
          <xm:sqref>C1:C1048576</xm:sqref>
        </x14:dataValidation>
        <x14:dataValidation type="list" allowBlank="1" showInputMessage="1" xr:uid="{A1F6A214-1CAD-45A5-AF9A-210BDA923A5E}">
          <x14:formula1>
            <xm:f>リスト!$C$1:$C$10</xm:f>
          </x14:formula1>
          <xm:sqref>N13:N1048576 N3:N10 N1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A6E3F-5CC4-4489-9F88-4DD0951D2E52}">
  <sheetPr codeName="Sheet3"/>
  <dimension ref="A1:N10"/>
  <sheetViews>
    <sheetView workbookViewId="0">
      <selection activeCell="G20" sqref="G20"/>
    </sheetView>
  </sheetViews>
  <sheetFormatPr defaultRowHeight="18"/>
  <sheetData>
    <row r="1" spans="1:14">
      <c r="A1" s="2" t="s">
        <v>7</v>
      </c>
      <c r="B1" s="2" t="s">
        <v>7</v>
      </c>
      <c r="C1" s="2" t="s">
        <v>8</v>
      </c>
      <c r="D1" s="2" t="s">
        <v>2</v>
      </c>
      <c r="E1" s="2" t="s">
        <v>9</v>
      </c>
      <c r="F1" t="s">
        <v>0</v>
      </c>
      <c r="G1" s="3" t="s">
        <v>10</v>
      </c>
      <c r="H1" s="2" t="s">
        <v>7</v>
      </c>
      <c r="I1" s="2" t="s">
        <v>3</v>
      </c>
      <c r="J1" s="2" t="s">
        <v>72</v>
      </c>
      <c r="K1" s="2" t="s">
        <v>11</v>
      </c>
      <c r="L1" s="2" t="s">
        <v>6</v>
      </c>
      <c r="M1" s="2" t="s">
        <v>12</v>
      </c>
      <c r="N1" s="2" t="s">
        <v>13</v>
      </c>
    </row>
    <row r="2" spans="1:14">
      <c r="A2" s="2" t="s">
        <v>14</v>
      </c>
      <c r="B2" t="s">
        <v>15</v>
      </c>
      <c r="C2" t="s">
        <v>16</v>
      </c>
      <c r="D2" s="2" t="s">
        <v>7</v>
      </c>
      <c r="F2" t="s">
        <v>17</v>
      </c>
      <c r="G2" s="2" t="s">
        <v>18</v>
      </c>
      <c r="H2" t="s">
        <v>19</v>
      </c>
      <c r="I2" t="s">
        <v>20</v>
      </c>
      <c r="J2" t="s">
        <v>75</v>
      </c>
      <c r="K2" t="s">
        <v>7</v>
      </c>
      <c r="L2" t="s">
        <v>21</v>
      </c>
      <c r="M2" t="s">
        <v>22</v>
      </c>
      <c r="N2" t="s">
        <v>69</v>
      </c>
    </row>
    <row r="3" spans="1:14">
      <c r="A3" s="2" t="s">
        <v>23</v>
      </c>
      <c r="B3" s="2" t="s">
        <v>24</v>
      </c>
      <c r="C3" s="2" t="s">
        <v>1</v>
      </c>
      <c r="F3" t="s">
        <v>25</v>
      </c>
      <c r="H3" t="s">
        <v>26</v>
      </c>
      <c r="J3" t="s">
        <v>74</v>
      </c>
      <c r="L3" s="2" t="s">
        <v>27</v>
      </c>
      <c r="M3" t="s">
        <v>7</v>
      </c>
    </row>
    <row r="4" spans="1:14">
      <c r="A4" s="2" t="s">
        <v>28</v>
      </c>
      <c r="B4" t="s">
        <v>29</v>
      </c>
      <c r="C4" t="s">
        <v>30</v>
      </c>
      <c r="F4" t="s">
        <v>31</v>
      </c>
      <c r="J4" t="s">
        <v>73</v>
      </c>
      <c r="L4" t="s">
        <v>7</v>
      </c>
    </row>
    <row r="5" spans="1:14">
      <c r="B5" s="2" t="s">
        <v>32</v>
      </c>
      <c r="C5" s="2" t="s">
        <v>33</v>
      </c>
      <c r="F5" s="2" t="s">
        <v>34</v>
      </c>
      <c r="J5" t="s">
        <v>76</v>
      </c>
    </row>
    <row r="6" spans="1:14">
      <c r="B6" t="s">
        <v>35</v>
      </c>
      <c r="C6" s="2" t="s">
        <v>36</v>
      </c>
      <c r="F6" s="2" t="s">
        <v>37</v>
      </c>
      <c r="J6" t="s">
        <v>77</v>
      </c>
    </row>
    <row r="7" spans="1:14">
      <c r="B7" s="2" t="s">
        <v>38</v>
      </c>
      <c r="C7" s="2" t="s">
        <v>39</v>
      </c>
      <c r="F7" s="2"/>
    </row>
    <row r="8" spans="1:14">
      <c r="B8" s="2" t="s">
        <v>40</v>
      </c>
      <c r="C8" s="2" t="s">
        <v>41</v>
      </c>
    </row>
    <row r="9" spans="1:14">
      <c r="B9" s="2" t="s">
        <v>42</v>
      </c>
      <c r="C9" t="s">
        <v>43</v>
      </c>
    </row>
    <row r="10" spans="1:14">
      <c r="C10" t="s">
        <v>44</v>
      </c>
    </row>
  </sheetData>
  <phoneticPr fontId="1"/>
  <dataValidations count="1">
    <dataValidation type="list" allowBlank="1" showInputMessage="1" showErrorMessage="1" sqref="G1" xr:uid="{B890F490-E263-4B65-93A0-191F0EB486F0}">
      <formula1>$G$1:$G$2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98A79-B673-467A-BB1F-1DBCDCBCDB24}">
  <sheetPr codeName="Sheet4"/>
  <dimension ref="A1:S73"/>
  <sheetViews>
    <sheetView topLeftCell="A6" workbookViewId="0">
      <selection activeCell="A18" sqref="A18"/>
    </sheetView>
  </sheetViews>
  <sheetFormatPr defaultRowHeight="18"/>
  <cols>
    <col min="1" max="1" width="30" style="15" bestFit="1" customWidth="1"/>
    <col min="2" max="2" width="31.69921875" style="15" bestFit="1" customWidth="1"/>
    <col min="3" max="3" width="27.59765625" style="15" bestFit="1" customWidth="1"/>
    <col min="4" max="4" width="22.09765625" style="15" customWidth="1"/>
    <col min="5" max="5" width="14.69921875" style="15" bestFit="1" customWidth="1"/>
    <col min="6" max="6" width="25" style="15" bestFit="1" customWidth="1"/>
    <col min="7" max="7" width="21.3984375" style="15" bestFit="1" customWidth="1"/>
    <col min="8" max="8" width="14.69921875" style="15" bestFit="1" customWidth="1"/>
    <col min="9" max="9" width="25" style="15" bestFit="1" customWidth="1"/>
    <col min="10" max="10" width="9" style="15" bestFit="1" customWidth="1"/>
    <col min="11" max="11" width="12.69921875" style="15" bestFit="1" customWidth="1"/>
    <col min="12" max="12" width="13" style="15" bestFit="1" customWidth="1"/>
    <col min="13" max="13" width="11" style="15" bestFit="1" customWidth="1"/>
    <col min="14" max="14" width="19.19921875" style="15" bestFit="1" customWidth="1"/>
    <col min="15" max="15" width="28.19921875" style="15" bestFit="1" customWidth="1"/>
    <col min="16" max="16" width="27.59765625" style="15" bestFit="1" customWidth="1"/>
    <col min="17" max="18" width="14.09765625" style="15" bestFit="1" customWidth="1"/>
    <col min="19" max="19" width="5.09765625" style="15" bestFit="1" customWidth="1"/>
    <col min="20" max="16384" width="8.796875" style="15"/>
  </cols>
  <sheetData>
    <row r="1" spans="1:19">
      <c r="A1" s="22" t="s">
        <v>207</v>
      </c>
      <c r="B1" s="23" t="s">
        <v>207</v>
      </c>
      <c r="C1" s="24" t="s">
        <v>216</v>
      </c>
      <c r="D1" s="9" t="s">
        <v>94</v>
      </c>
      <c r="E1" s="9"/>
      <c r="F1" s="9"/>
      <c r="G1" s="10" t="s">
        <v>95</v>
      </c>
      <c r="H1" s="10"/>
      <c r="I1" s="10"/>
      <c r="J1" s="11" t="s">
        <v>96</v>
      </c>
      <c r="K1" s="11"/>
      <c r="L1" s="12" t="s">
        <v>97</v>
      </c>
      <c r="M1" s="13"/>
      <c r="N1" s="13"/>
      <c r="O1" s="13"/>
      <c r="P1" s="13"/>
      <c r="Q1" s="13"/>
      <c r="R1" s="13"/>
      <c r="S1" s="14"/>
    </row>
    <row r="2" spans="1:19">
      <c r="A2" s="16" t="s">
        <v>210</v>
      </c>
      <c r="B2" s="16" t="s">
        <v>98</v>
      </c>
      <c r="C2" s="16" t="s">
        <v>99</v>
      </c>
      <c r="D2" s="17" t="s">
        <v>100</v>
      </c>
      <c r="E2" s="17" t="s">
        <v>101</v>
      </c>
      <c r="F2" s="17" t="s">
        <v>102</v>
      </c>
      <c r="G2" s="18" t="s">
        <v>100</v>
      </c>
      <c r="H2" s="18" t="s">
        <v>101</v>
      </c>
      <c r="I2" s="18" t="s">
        <v>102</v>
      </c>
      <c r="J2" s="19" t="s">
        <v>103</v>
      </c>
      <c r="K2" s="19" t="s">
        <v>104</v>
      </c>
      <c r="L2" s="20" t="s">
        <v>105</v>
      </c>
      <c r="M2" s="20" t="s">
        <v>106</v>
      </c>
      <c r="N2" s="20" t="s">
        <v>98</v>
      </c>
      <c r="O2" s="20" t="s">
        <v>99</v>
      </c>
      <c r="P2" s="20" t="s">
        <v>107</v>
      </c>
      <c r="Q2" s="20" t="s">
        <v>107</v>
      </c>
      <c r="R2" s="20" t="s">
        <v>107</v>
      </c>
      <c r="S2" s="20" t="s">
        <v>107</v>
      </c>
    </row>
    <row r="3" spans="1:19">
      <c r="A3" s="16" t="s">
        <v>211</v>
      </c>
      <c r="B3" s="16" t="s">
        <v>98</v>
      </c>
      <c r="C3" s="16" t="s">
        <v>108</v>
      </c>
      <c r="D3" s="17" t="s">
        <v>100</v>
      </c>
      <c r="E3" s="17" t="s">
        <v>101</v>
      </c>
      <c r="F3" s="17" t="s">
        <v>102</v>
      </c>
      <c r="G3" s="18" t="s">
        <v>100</v>
      </c>
      <c r="H3" s="18" t="s">
        <v>101</v>
      </c>
      <c r="I3" s="18" t="s">
        <v>102</v>
      </c>
      <c r="J3" s="19" t="s">
        <v>103</v>
      </c>
      <c r="K3" s="19" t="s">
        <v>104</v>
      </c>
      <c r="L3" s="20" t="s">
        <v>105</v>
      </c>
      <c r="M3" s="20" t="s">
        <v>106</v>
      </c>
      <c r="N3" s="20" t="s">
        <v>98</v>
      </c>
      <c r="O3" s="20" t="s">
        <v>108</v>
      </c>
      <c r="P3" s="20" t="s">
        <v>107</v>
      </c>
      <c r="Q3" s="20" t="s">
        <v>107</v>
      </c>
      <c r="R3" s="20" t="s">
        <v>107</v>
      </c>
      <c r="S3" s="20" t="s">
        <v>107</v>
      </c>
    </row>
    <row r="4" spans="1:19">
      <c r="A4" s="21" t="s">
        <v>212</v>
      </c>
      <c r="B4" s="16" t="s">
        <v>109</v>
      </c>
      <c r="C4" s="16" t="s">
        <v>110</v>
      </c>
      <c r="D4" s="17" t="s">
        <v>100</v>
      </c>
      <c r="E4" s="17" t="s">
        <v>101</v>
      </c>
      <c r="F4" s="17" t="s">
        <v>102</v>
      </c>
      <c r="G4" s="18" t="s">
        <v>100</v>
      </c>
      <c r="H4" s="18" t="s">
        <v>101</v>
      </c>
      <c r="I4" s="18" t="s">
        <v>102</v>
      </c>
      <c r="J4" s="19" t="s">
        <v>103</v>
      </c>
      <c r="K4" s="19" t="s">
        <v>104</v>
      </c>
      <c r="L4" s="20" t="s">
        <v>105</v>
      </c>
      <c r="M4" s="20" t="s">
        <v>106</v>
      </c>
      <c r="N4" s="20" t="s">
        <v>109</v>
      </c>
      <c r="O4" s="20" t="s">
        <v>110</v>
      </c>
      <c r="P4" s="20" t="s">
        <v>107</v>
      </c>
      <c r="Q4" s="20" t="s">
        <v>107</v>
      </c>
      <c r="R4" s="20" t="s">
        <v>107</v>
      </c>
      <c r="S4" s="20" t="s">
        <v>107</v>
      </c>
    </row>
    <row r="5" spans="1:19">
      <c r="A5" s="21" t="s">
        <v>213</v>
      </c>
      <c r="B5" s="16" t="s">
        <v>109</v>
      </c>
      <c r="C5" s="16" t="s">
        <v>111</v>
      </c>
      <c r="D5" s="17" t="s">
        <v>100</v>
      </c>
      <c r="E5" s="17" t="s">
        <v>101</v>
      </c>
      <c r="F5" s="17" t="s">
        <v>102</v>
      </c>
      <c r="G5" s="18" t="s">
        <v>100</v>
      </c>
      <c r="H5" s="18" t="s">
        <v>101</v>
      </c>
      <c r="I5" s="18" t="s">
        <v>102</v>
      </c>
      <c r="J5" s="19" t="s">
        <v>103</v>
      </c>
      <c r="K5" s="19" t="s">
        <v>104</v>
      </c>
      <c r="L5" s="20" t="s">
        <v>105</v>
      </c>
      <c r="M5" s="20" t="s">
        <v>112</v>
      </c>
      <c r="N5" s="20" t="s">
        <v>109</v>
      </c>
      <c r="O5" s="20" t="s">
        <v>111</v>
      </c>
      <c r="P5" s="20" t="s">
        <v>107</v>
      </c>
      <c r="Q5" s="20" t="s">
        <v>107</v>
      </c>
      <c r="R5" s="20" t="s">
        <v>107</v>
      </c>
      <c r="S5" s="20" t="s">
        <v>107</v>
      </c>
    </row>
    <row r="6" spans="1:19">
      <c r="A6" s="21" t="s">
        <v>214</v>
      </c>
      <c r="B6" s="16" t="s">
        <v>113</v>
      </c>
      <c r="C6" s="16" t="s">
        <v>99</v>
      </c>
      <c r="D6" s="17" t="s">
        <v>100</v>
      </c>
      <c r="E6" s="17" t="s">
        <v>101</v>
      </c>
      <c r="F6" s="17" t="s">
        <v>102</v>
      </c>
      <c r="G6" s="18" t="s">
        <v>100</v>
      </c>
      <c r="H6" s="18" t="s">
        <v>101</v>
      </c>
      <c r="I6" s="18" t="s">
        <v>102</v>
      </c>
      <c r="J6" s="19" t="s">
        <v>103</v>
      </c>
      <c r="K6" s="19" t="s">
        <v>104</v>
      </c>
      <c r="L6" s="20" t="s">
        <v>105</v>
      </c>
      <c r="M6" s="20" t="s">
        <v>106</v>
      </c>
      <c r="N6" s="20" t="s">
        <v>113</v>
      </c>
      <c r="O6" s="20" t="s">
        <v>99</v>
      </c>
      <c r="P6" s="20" t="s">
        <v>107</v>
      </c>
      <c r="Q6" s="20" t="s">
        <v>107</v>
      </c>
      <c r="R6" s="20" t="s">
        <v>107</v>
      </c>
      <c r="S6" s="20" t="s">
        <v>107</v>
      </c>
    </row>
    <row r="7" spans="1:19">
      <c r="A7" s="21" t="s">
        <v>120</v>
      </c>
      <c r="B7" s="16" t="s">
        <v>113</v>
      </c>
      <c r="C7" s="16" t="s">
        <v>108</v>
      </c>
      <c r="D7" s="17" t="s">
        <v>100</v>
      </c>
      <c r="E7" s="17" t="s">
        <v>101</v>
      </c>
      <c r="F7" s="17" t="s">
        <v>102</v>
      </c>
      <c r="G7" s="18" t="s">
        <v>100</v>
      </c>
      <c r="H7" s="18" t="s">
        <v>101</v>
      </c>
      <c r="I7" s="18" t="s">
        <v>102</v>
      </c>
      <c r="J7" s="19" t="s">
        <v>103</v>
      </c>
      <c r="K7" s="19" t="s">
        <v>104</v>
      </c>
      <c r="L7" s="20" t="s">
        <v>105</v>
      </c>
      <c r="M7" s="20" t="s">
        <v>106</v>
      </c>
      <c r="N7" s="20" t="s">
        <v>113</v>
      </c>
      <c r="O7" s="20" t="s">
        <v>108</v>
      </c>
      <c r="P7" s="20" t="s">
        <v>107</v>
      </c>
      <c r="Q7" s="20" t="s">
        <v>107</v>
      </c>
      <c r="R7" s="20" t="s">
        <v>107</v>
      </c>
      <c r="S7" s="20" t="s">
        <v>107</v>
      </c>
    </row>
    <row r="8" spans="1:19">
      <c r="A8" s="21" t="s">
        <v>125</v>
      </c>
      <c r="B8" s="16" t="s">
        <v>114</v>
      </c>
      <c r="C8" s="16" t="s">
        <v>99</v>
      </c>
      <c r="D8" s="17" t="s">
        <v>100</v>
      </c>
      <c r="E8" s="17" t="s">
        <v>101</v>
      </c>
      <c r="F8" s="17" t="s">
        <v>102</v>
      </c>
      <c r="G8" s="18" t="s">
        <v>100</v>
      </c>
      <c r="H8" s="18" t="s">
        <v>101</v>
      </c>
      <c r="I8" s="18" t="s">
        <v>102</v>
      </c>
      <c r="J8" s="19" t="s">
        <v>103</v>
      </c>
      <c r="K8" s="19" t="s">
        <v>104</v>
      </c>
      <c r="L8" s="20" t="s">
        <v>105</v>
      </c>
      <c r="M8" s="20" t="s">
        <v>106</v>
      </c>
      <c r="N8" s="20" t="s">
        <v>114</v>
      </c>
      <c r="O8" s="20" t="s">
        <v>99</v>
      </c>
      <c r="P8" s="20" t="s">
        <v>107</v>
      </c>
      <c r="Q8" s="20" t="s">
        <v>107</v>
      </c>
      <c r="R8" s="20" t="s">
        <v>107</v>
      </c>
      <c r="S8" s="20" t="s">
        <v>107</v>
      </c>
    </row>
    <row r="9" spans="1:19">
      <c r="A9" s="21" t="s">
        <v>130</v>
      </c>
      <c r="B9" s="16" t="s">
        <v>114</v>
      </c>
      <c r="C9" s="16" t="s">
        <v>108</v>
      </c>
      <c r="D9" s="17" t="s">
        <v>100</v>
      </c>
      <c r="E9" s="17" t="s">
        <v>101</v>
      </c>
      <c r="F9" s="17" t="s">
        <v>102</v>
      </c>
      <c r="G9" s="18" t="s">
        <v>100</v>
      </c>
      <c r="H9" s="18" t="s">
        <v>101</v>
      </c>
      <c r="I9" s="18" t="s">
        <v>102</v>
      </c>
      <c r="J9" s="19" t="s">
        <v>103</v>
      </c>
      <c r="K9" s="19" t="s">
        <v>104</v>
      </c>
      <c r="L9" s="20" t="s">
        <v>105</v>
      </c>
      <c r="M9" s="20" t="s">
        <v>104</v>
      </c>
      <c r="N9" s="20" t="s">
        <v>114</v>
      </c>
      <c r="O9" s="20" t="s">
        <v>108</v>
      </c>
      <c r="P9" s="20" t="s">
        <v>107</v>
      </c>
      <c r="Q9" s="20" t="s">
        <v>107</v>
      </c>
      <c r="R9" s="20" t="s">
        <v>107</v>
      </c>
      <c r="S9" s="20" t="s">
        <v>107</v>
      </c>
    </row>
    <row r="10" spans="1:19">
      <c r="A10" s="21" t="s">
        <v>136</v>
      </c>
      <c r="B10" s="16" t="s">
        <v>115</v>
      </c>
      <c r="C10" s="16" t="s">
        <v>116</v>
      </c>
      <c r="D10" s="17" t="s">
        <v>100</v>
      </c>
      <c r="E10" s="17" t="s">
        <v>101</v>
      </c>
      <c r="F10" s="17" t="s">
        <v>102</v>
      </c>
      <c r="G10" s="18" t="s">
        <v>100</v>
      </c>
      <c r="H10" s="18" t="s">
        <v>101</v>
      </c>
      <c r="I10" s="18" t="s">
        <v>102</v>
      </c>
      <c r="J10" s="19" t="s">
        <v>103</v>
      </c>
      <c r="K10" s="19" t="s">
        <v>104</v>
      </c>
      <c r="L10" s="20" t="s">
        <v>105</v>
      </c>
      <c r="M10" s="20" t="s">
        <v>106</v>
      </c>
      <c r="N10" s="20" t="s">
        <v>115</v>
      </c>
      <c r="O10" s="20" t="s">
        <v>116</v>
      </c>
      <c r="P10" s="20" t="s">
        <v>107</v>
      </c>
      <c r="Q10" s="20" t="s">
        <v>107</v>
      </c>
      <c r="R10" s="20" t="s">
        <v>107</v>
      </c>
      <c r="S10" s="20" t="s">
        <v>107</v>
      </c>
    </row>
    <row r="11" spans="1:19">
      <c r="A11" s="21" t="s">
        <v>139</v>
      </c>
      <c r="B11" s="16" t="s">
        <v>115</v>
      </c>
      <c r="C11" s="16" t="s">
        <v>117</v>
      </c>
      <c r="D11" s="17" t="s">
        <v>100</v>
      </c>
      <c r="E11" s="17" t="s">
        <v>101</v>
      </c>
      <c r="F11" s="17" t="s">
        <v>102</v>
      </c>
      <c r="G11" s="18" t="s">
        <v>100</v>
      </c>
      <c r="H11" s="18" t="s">
        <v>101</v>
      </c>
      <c r="I11" s="18" t="s">
        <v>102</v>
      </c>
      <c r="J11" s="19" t="s">
        <v>103</v>
      </c>
      <c r="K11" s="19" t="s">
        <v>104</v>
      </c>
      <c r="L11" s="20" t="s">
        <v>105</v>
      </c>
      <c r="M11" s="20" t="s">
        <v>106</v>
      </c>
      <c r="N11" s="20" t="s">
        <v>115</v>
      </c>
      <c r="O11" s="20" t="s">
        <v>117</v>
      </c>
      <c r="P11" s="20" t="s">
        <v>107</v>
      </c>
      <c r="Q11" s="20" t="s">
        <v>107</v>
      </c>
      <c r="R11" s="20" t="s">
        <v>107</v>
      </c>
      <c r="S11" s="20" t="s">
        <v>107</v>
      </c>
    </row>
    <row r="12" spans="1:19">
      <c r="A12" s="21" t="s">
        <v>136</v>
      </c>
      <c r="B12" s="16" t="s">
        <v>118</v>
      </c>
      <c r="C12" s="16" t="s">
        <v>86</v>
      </c>
      <c r="D12" s="17" t="s">
        <v>100</v>
      </c>
      <c r="E12" s="17" t="s">
        <v>101</v>
      </c>
      <c r="F12" s="17" t="s">
        <v>102</v>
      </c>
      <c r="G12" s="18" t="s">
        <v>100</v>
      </c>
      <c r="H12" s="18" t="s">
        <v>101</v>
      </c>
      <c r="I12" s="18" t="s">
        <v>102</v>
      </c>
      <c r="J12" s="19" t="s">
        <v>103</v>
      </c>
      <c r="K12" s="19" t="s">
        <v>104</v>
      </c>
      <c r="L12" s="20" t="s">
        <v>105</v>
      </c>
      <c r="M12" s="20" t="s">
        <v>106</v>
      </c>
      <c r="N12" s="20" t="s">
        <v>119</v>
      </c>
      <c r="O12" s="20" t="s">
        <v>118</v>
      </c>
      <c r="P12" s="20" t="s">
        <v>86</v>
      </c>
      <c r="Q12" s="20" t="s">
        <v>107</v>
      </c>
      <c r="R12" s="20" t="s">
        <v>107</v>
      </c>
      <c r="S12" s="20" t="s">
        <v>107</v>
      </c>
    </row>
    <row r="13" spans="1:19">
      <c r="A13" s="21" t="s">
        <v>140</v>
      </c>
      <c r="B13" s="16" t="s">
        <v>120</v>
      </c>
      <c r="C13" s="16" t="s">
        <v>121</v>
      </c>
      <c r="D13" s="17" t="s">
        <v>100</v>
      </c>
      <c r="E13" s="17" t="s">
        <v>101</v>
      </c>
      <c r="F13" s="17" t="s">
        <v>102</v>
      </c>
      <c r="G13" s="18" t="s">
        <v>100</v>
      </c>
      <c r="H13" s="18" t="s">
        <v>101</v>
      </c>
      <c r="I13" s="18" t="s">
        <v>102</v>
      </c>
      <c r="J13" s="19" t="s">
        <v>103</v>
      </c>
      <c r="K13" s="19" t="s">
        <v>104</v>
      </c>
      <c r="L13" s="20" t="s">
        <v>122</v>
      </c>
      <c r="M13" s="20" t="s">
        <v>104</v>
      </c>
      <c r="N13" s="20" t="s">
        <v>123</v>
      </c>
      <c r="O13" s="20" t="s">
        <v>120</v>
      </c>
      <c r="P13" s="20" t="s">
        <v>121</v>
      </c>
      <c r="Q13" s="20" t="s">
        <v>107</v>
      </c>
      <c r="R13" s="20" t="s">
        <v>107</v>
      </c>
      <c r="S13" s="20" t="s">
        <v>107</v>
      </c>
    </row>
    <row r="14" spans="1:19">
      <c r="A14" s="21" t="s">
        <v>217</v>
      </c>
      <c r="B14" s="16" t="s">
        <v>120</v>
      </c>
      <c r="C14" s="16" t="s">
        <v>124</v>
      </c>
      <c r="D14" s="17" t="s">
        <v>100</v>
      </c>
      <c r="E14" s="17" t="s">
        <v>101</v>
      </c>
      <c r="F14" s="17" t="s">
        <v>102</v>
      </c>
      <c r="G14" s="18" t="s">
        <v>100</v>
      </c>
      <c r="H14" s="18" t="s">
        <v>101</v>
      </c>
      <c r="I14" s="18" t="s">
        <v>102</v>
      </c>
      <c r="J14" s="19" t="s">
        <v>103</v>
      </c>
      <c r="K14" s="19" t="s">
        <v>104</v>
      </c>
      <c r="L14" s="20" t="s">
        <v>122</v>
      </c>
      <c r="M14" s="20" t="s">
        <v>104</v>
      </c>
      <c r="N14" s="20" t="s">
        <v>123</v>
      </c>
      <c r="O14" s="20" t="s">
        <v>120</v>
      </c>
      <c r="P14" s="20" t="s">
        <v>124</v>
      </c>
      <c r="Q14" s="20" t="s">
        <v>107</v>
      </c>
      <c r="R14" s="20" t="s">
        <v>107</v>
      </c>
      <c r="S14" s="20" t="s">
        <v>107</v>
      </c>
    </row>
    <row r="15" spans="1:19">
      <c r="A15" s="21" t="s">
        <v>218</v>
      </c>
      <c r="B15" s="16" t="s">
        <v>125</v>
      </c>
      <c r="C15" s="16" t="s">
        <v>126</v>
      </c>
      <c r="D15" s="17" t="s">
        <v>100</v>
      </c>
      <c r="E15" s="17" t="s">
        <v>101</v>
      </c>
      <c r="F15" s="17" t="s">
        <v>102</v>
      </c>
      <c r="G15" s="18" t="s">
        <v>100</v>
      </c>
      <c r="H15" s="18" t="s">
        <v>101</v>
      </c>
      <c r="I15" s="18" t="s">
        <v>102</v>
      </c>
      <c r="J15" s="19" t="s">
        <v>103</v>
      </c>
      <c r="K15" s="19" t="s">
        <v>104</v>
      </c>
      <c r="L15" s="20" t="s">
        <v>122</v>
      </c>
      <c r="M15" s="20" t="s">
        <v>127</v>
      </c>
      <c r="N15" s="20" t="s">
        <v>128</v>
      </c>
      <c r="O15" s="20" t="s">
        <v>125</v>
      </c>
      <c r="P15" s="20" t="s">
        <v>126</v>
      </c>
      <c r="Q15" s="20" t="s">
        <v>107</v>
      </c>
      <c r="R15" s="20" t="s">
        <v>107</v>
      </c>
      <c r="S15" s="20" t="s">
        <v>107</v>
      </c>
    </row>
    <row r="16" spans="1:19">
      <c r="A16" s="21" t="s">
        <v>219</v>
      </c>
      <c r="B16" s="16" t="s">
        <v>125</v>
      </c>
      <c r="C16" s="16" t="s">
        <v>121</v>
      </c>
      <c r="D16" s="17" t="s">
        <v>100</v>
      </c>
      <c r="E16" s="17" t="s">
        <v>101</v>
      </c>
      <c r="F16" s="17" t="s">
        <v>102</v>
      </c>
      <c r="G16" s="18" t="s">
        <v>100</v>
      </c>
      <c r="H16" s="18" t="s">
        <v>101</v>
      </c>
      <c r="I16" s="18" t="s">
        <v>102</v>
      </c>
      <c r="J16" s="19" t="s">
        <v>103</v>
      </c>
      <c r="K16" s="19" t="s">
        <v>104</v>
      </c>
      <c r="L16" s="20" t="s">
        <v>122</v>
      </c>
      <c r="M16" s="20" t="s">
        <v>127</v>
      </c>
      <c r="N16" s="20" t="s">
        <v>128</v>
      </c>
      <c r="O16" s="20" t="s">
        <v>125</v>
      </c>
      <c r="P16" s="20" t="s">
        <v>121</v>
      </c>
      <c r="Q16" s="20" t="s">
        <v>107</v>
      </c>
      <c r="R16" s="20" t="s">
        <v>107</v>
      </c>
      <c r="S16" s="20" t="s">
        <v>107</v>
      </c>
    </row>
    <row r="17" spans="1:19">
      <c r="A17" s="21" t="s">
        <v>215</v>
      </c>
      <c r="B17" s="16" t="s">
        <v>125</v>
      </c>
      <c r="C17" s="16" t="s">
        <v>124</v>
      </c>
      <c r="D17" s="17" t="s">
        <v>100</v>
      </c>
      <c r="E17" s="17" t="s">
        <v>101</v>
      </c>
      <c r="F17" s="17" t="s">
        <v>102</v>
      </c>
      <c r="G17" s="18" t="s">
        <v>100</v>
      </c>
      <c r="H17" s="18" t="s">
        <v>101</v>
      </c>
      <c r="I17" s="18" t="s">
        <v>102</v>
      </c>
      <c r="J17" s="19" t="s">
        <v>103</v>
      </c>
      <c r="K17" s="19" t="s">
        <v>104</v>
      </c>
      <c r="L17" s="20" t="s">
        <v>122</v>
      </c>
      <c r="M17" s="20" t="s">
        <v>127</v>
      </c>
      <c r="N17" s="20" t="s">
        <v>128</v>
      </c>
      <c r="O17" s="20" t="s">
        <v>125</v>
      </c>
      <c r="P17" s="20" t="s">
        <v>124</v>
      </c>
      <c r="Q17" s="20" t="s">
        <v>107</v>
      </c>
      <c r="R17" s="20" t="s">
        <v>107</v>
      </c>
      <c r="S17" s="20" t="s">
        <v>107</v>
      </c>
    </row>
    <row r="18" spans="1:19">
      <c r="A18" s="21" t="s">
        <v>78</v>
      </c>
      <c r="B18" s="16" t="s">
        <v>125</v>
      </c>
      <c r="C18" s="16" t="s">
        <v>129</v>
      </c>
      <c r="D18" s="17" t="s">
        <v>100</v>
      </c>
      <c r="E18" s="17" t="s">
        <v>101</v>
      </c>
      <c r="F18" s="17" t="s">
        <v>102</v>
      </c>
      <c r="G18" s="18" t="s">
        <v>100</v>
      </c>
      <c r="H18" s="18" t="s">
        <v>101</v>
      </c>
      <c r="I18" s="18" t="s">
        <v>102</v>
      </c>
      <c r="J18" s="19" t="s">
        <v>103</v>
      </c>
      <c r="K18" s="19" t="s">
        <v>104</v>
      </c>
      <c r="L18" s="20" t="s">
        <v>122</v>
      </c>
      <c r="M18" s="20" t="s">
        <v>127</v>
      </c>
      <c r="N18" s="20" t="s">
        <v>128</v>
      </c>
      <c r="O18" s="20" t="s">
        <v>125</v>
      </c>
      <c r="P18" s="20" t="s">
        <v>129</v>
      </c>
      <c r="Q18" s="20" t="s">
        <v>107</v>
      </c>
      <c r="R18" s="20" t="s">
        <v>107</v>
      </c>
      <c r="S18" s="20" t="s">
        <v>107</v>
      </c>
    </row>
    <row r="19" spans="1:19">
      <c r="A19" s="21" t="s">
        <v>107</v>
      </c>
      <c r="B19" s="16" t="s">
        <v>130</v>
      </c>
      <c r="C19" s="16" t="s">
        <v>131</v>
      </c>
      <c r="D19" s="17" t="s">
        <v>100</v>
      </c>
      <c r="E19" s="17" t="s">
        <v>101</v>
      </c>
      <c r="F19" s="17" t="s">
        <v>102</v>
      </c>
      <c r="G19" s="18" t="s">
        <v>100</v>
      </c>
      <c r="H19" s="18" t="s">
        <v>101</v>
      </c>
      <c r="I19" s="18" t="s">
        <v>102</v>
      </c>
      <c r="J19" s="19" t="s">
        <v>103</v>
      </c>
      <c r="K19" s="19" t="s">
        <v>104</v>
      </c>
      <c r="L19" s="20" t="s">
        <v>122</v>
      </c>
      <c r="M19" s="20" t="s">
        <v>127</v>
      </c>
      <c r="N19" s="20" t="s">
        <v>132</v>
      </c>
      <c r="O19" s="20" t="s">
        <v>130</v>
      </c>
      <c r="P19" s="20" t="s">
        <v>131</v>
      </c>
      <c r="Q19" s="20" t="s">
        <v>107</v>
      </c>
      <c r="R19" s="20" t="s">
        <v>107</v>
      </c>
      <c r="S19" s="20" t="s">
        <v>107</v>
      </c>
    </row>
    <row r="20" spans="1:19">
      <c r="B20" s="16" t="s">
        <v>130</v>
      </c>
      <c r="C20" s="16" t="s">
        <v>133</v>
      </c>
      <c r="D20" s="17" t="s">
        <v>100</v>
      </c>
      <c r="E20" s="17" t="s">
        <v>101</v>
      </c>
      <c r="F20" s="17" t="s">
        <v>102</v>
      </c>
      <c r="G20" s="18" t="s">
        <v>100</v>
      </c>
      <c r="H20" s="18" t="s">
        <v>101</v>
      </c>
      <c r="I20" s="18" t="s">
        <v>102</v>
      </c>
      <c r="J20" s="19" t="s">
        <v>103</v>
      </c>
      <c r="K20" s="19" t="s">
        <v>104</v>
      </c>
      <c r="L20" s="20" t="s">
        <v>122</v>
      </c>
      <c r="M20" s="20" t="s">
        <v>127</v>
      </c>
      <c r="N20" s="20" t="s">
        <v>132</v>
      </c>
      <c r="O20" s="20" t="s">
        <v>130</v>
      </c>
      <c r="P20" s="20" t="s">
        <v>133</v>
      </c>
      <c r="Q20" s="20" t="s">
        <v>107</v>
      </c>
      <c r="R20" s="20" t="s">
        <v>107</v>
      </c>
      <c r="S20" s="20" t="s">
        <v>107</v>
      </c>
    </row>
    <row r="21" spans="1:19">
      <c r="B21" s="16" t="s">
        <v>130</v>
      </c>
      <c r="C21" s="16" t="s">
        <v>134</v>
      </c>
      <c r="D21" s="17" t="s">
        <v>100</v>
      </c>
      <c r="E21" s="17" t="s">
        <v>101</v>
      </c>
      <c r="F21" s="17" t="s">
        <v>102</v>
      </c>
      <c r="G21" s="18" t="s">
        <v>100</v>
      </c>
      <c r="H21" s="18" t="s">
        <v>101</v>
      </c>
      <c r="I21" s="18" t="s">
        <v>102</v>
      </c>
      <c r="J21" s="19" t="s">
        <v>103</v>
      </c>
      <c r="K21" s="19" t="s">
        <v>104</v>
      </c>
      <c r="L21" s="20" t="s">
        <v>122</v>
      </c>
      <c r="M21" s="20" t="s">
        <v>127</v>
      </c>
      <c r="N21" s="20" t="s">
        <v>132</v>
      </c>
      <c r="O21" s="20" t="s">
        <v>130</v>
      </c>
      <c r="P21" s="20" t="s">
        <v>134</v>
      </c>
      <c r="Q21" s="20" t="s">
        <v>107</v>
      </c>
      <c r="R21" s="20" t="s">
        <v>107</v>
      </c>
      <c r="S21" s="20" t="s">
        <v>107</v>
      </c>
    </row>
    <row r="22" spans="1:19">
      <c r="B22" s="16" t="s">
        <v>130</v>
      </c>
      <c r="C22" s="16" t="s">
        <v>135</v>
      </c>
      <c r="D22" s="17" t="s">
        <v>100</v>
      </c>
      <c r="E22" s="17" t="s">
        <v>101</v>
      </c>
      <c r="F22" s="17" t="s">
        <v>102</v>
      </c>
      <c r="G22" s="18" t="s">
        <v>100</v>
      </c>
      <c r="H22" s="18" t="s">
        <v>101</v>
      </c>
      <c r="I22" s="18" t="s">
        <v>102</v>
      </c>
      <c r="J22" s="19" t="s">
        <v>103</v>
      </c>
      <c r="K22" s="19" t="s">
        <v>104</v>
      </c>
      <c r="L22" s="20" t="s">
        <v>122</v>
      </c>
      <c r="M22" s="20" t="s">
        <v>127</v>
      </c>
      <c r="N22" s="20" t="s">
        <v>132</v>
      </c>
      <c r="O22" s="20" t="s">
        <v>130</v>
      </c>
      <c r="P22" s="20" t="s">
        <v>135</v>
      </c>
      <c r="Q22" s="20" t="s">
        <v>107</v>
      </c>
      <c r="R22" s="20" t="s">
        <v>107</v>
      </c>
      <c r="S22" s="20" t="s">
        <v>107</v>
      </c>
    </row>
    <row r="23" spans="1:19">
      <c r="B23" s="16" t="s">
        <v>136</v>
      </c>
      <c r="C23" s="16" t="s">
        <v>133</v>
      </c>
      <c r="D23" s="17" t="s">
        <v>100</v>
      </c>
      <c r="E23" s="17" t="s">
        <v>101</v>
      </c>
      <c r="F23" s="17" t="s">
        <v>137</v>
      </c>
      <c r="G23" s="18" t="s">
        <v>100</v>
      </c>
      <c r="H23" s="18" t="s">
        <v>101</v>
      </c>
      <c r="I23" s="18" t="s">
        <v>137</v>
      </c>
      <c r="J23" s="19" t="s">
        <v>103</v>
      </c>
      <c r="K23" s="19" t="s">
        <v>137</v>
      </c>
      <c r="L23" s="20" t="s">
        <v>122</v>
      </c>
      <c r="M23" s="20" t="s">
        <v>127</v>
      </c>
      <c r="N23" s="20" t="s">
        <v>132</v>
      </c>
      <c r="O23" s="20" t="s">
        <v>138</v>
      </c>
      <c r="P23" s="20" t="s">
        <v>136</v>
      </c>
      <c r="Q23" s="20" t="s">
        <v>133</v>
      </c>
      <c r="R23" s="20" t="s">
        <v>107</v>
      </c>
      <c r="S23" s="20" t="s">
        <v>107</v>
      </c>
    </row>
    <row r="24" spans="1:19">
      <c r="B24" s="16" t="s">
        <v>136</v>
      </c>
      <c r="C24" s="16" t="s">
        <v>134</v>
      </c>
      <c r="D24" s="17" t="s">
        <v>100</v>
      </c>
      <c r="E24" s="17" t="s">
        <v>101</v>
      </c>
      <c r="F24" s="17" t="s">
        <v>137</v>
      </c>
      <c r="G24" s="18" t="s">
        <v>100</v>
      </c>
      <c r="H24" s="18" t="s">
        <v>101</v>
      </c>
      <c r="I24" s="18" t="s">
        <v>137</v>
      </c>
      <c r="J24" s="19" t="s">
        <v>103</v>
      </c>
      <c r="K24" s="19" t="s">
        <v>137</v>
      </c>
      <c r="L24" s="20" t="s">
        <v>122</v>
      </c>
      <c r="M24" s="20" t="s">
        <v>127</v>
      </c>
      <c r="N24" s="20" t="s">
        <v>132</v>
      </c>
      <c r="O24" s="20" t="s">
        <v>138</v>
      </c>
      <c r="P24" s="20" t="s">
        <v>136</v>
      </c>
      <c r="Q24" s="20" t="s">
        <v>134</v>
      </c>
      <c r="R24" s="20" t="s">
        <v>107</v>
      </c>
      <c r="S24" s="20" t="s">
        <v>107</v>
      </c>
    </row>
    <row r="25" spans="1:19">
      <c r="B25" s="16" t="s">
        <v>136</v>
      </c>
      <c r="C25" s="16" t="s">
        <v>135</v>
      </c>
      <c r="D25" s="17" t="s">
        <v>100</v>
      </c>
      <c r="E25" s="17" t="s">
        <v>101</v>
      </c>
      <c r="F25" s="17" t="s">
        <v>137</v>
      </c>
      <c r="G25" s="18" t="s">
        <v>100</v>
      </c>
      <c r="H25" s="18" t="s">
        <v>101</v>
      </c>
      <c r="I25" s="18" t="s">
        <v>137</v>
      </c>
      <c r="J25" s="19" t="s">
        <v>103</v>
      </c>
      <c r="K25" s="19" t="s">
        <v>137</v>
      </c>
      <c r="L25" s="20" t="s">
        <v>122</v>
      </c>
      <c r="M25" s="20" t="s">
        <v>127</v>
      </c>
      <c r="N25" s="20" t="s">
        <v>132</v>
      </c>
      <c r="O25" s="20" t="s">
        <v>138</v>
      </c>
      <c r="P25" s="20" t="s">
        <v>136</v>
      </c>
      <c r="Q25" s="20" t="s">
        <v>135</v>
      </c>
      <c r="R25" s="20" t="s">
        <v>107</v>
      </c>
      <c r="S25" s="20" t="s">
        <v>107</v>
      </c>
    </row>
    <row r="26" spans="1:19">
      <c r="B26" s="16" t="s">
        <v>139</v>
      </c>
      <c r="C26" s="16" t="s">
        <v>133</v>
      </c>
      <c r="D26" s="17" t="s">
        <v>100</v>
      </c>
      <c r="E26" s="17" t="s">
        <v>101</v>
      </c>
      <c r="F26" s="17" t="s">
        <v>137</v>
      </c>
      <c r="G26" s="18" t="s">
        <v>100</v>
      </c>
      <c r="H26" s="18" t="s">
        <v>101</v>
      </c>
      <c r="I26" s="18" t="s">
        <v>137</v>
      </c>
      <c r="J26" s="19" t="s">
        <v>103</v>
      </c>
      <c r="K26" s="19" t="s">
        <v>137</v>
      </c>
      <c r="L26" s="20" t="s">
        <v>122</v>
      </c>
      <c r="M26" s="20" t="s">
        <v>127</v>
      </c>
      <c r="N26" s="20" t="s">
        <v>132</v>
      </c>
      <c r="O26" s="20" t="s">
        <v>138</v>
      </c>
      <c r="P26" s="20" t="s">
        <v>139</v>
      </c>
      <c r="Q26" s="20" t="s">
        <v>133</v>
      </c>
      <c r="R26" s="20" t="s">
        <v>107</v>
      </c>
      <c r="S26" s="20" t="s">
        <v>107</v>
      </c>
    </row>
    <row r="27" spans="1:19">
      <c r="B27" s="16" t="s">
        <v>140</v>
      </c>
      <c r="C27" s="16" t="s">
        <v>141</v>
      </c>
      <c r="D27" s="17" t="s">
        <v>100</v>
      </c>
      <c r="E27" s="17" t="s">
        <v>101</v>
      </c>
      <c r="F27" s="17" t="s">
        <v>137</v>
      </c>
      <c r="G27" s="18" t="s">
        <v>100</v>
      </c>
      <c r="H27" s="18" t="s">
        <v>101</v>
      </c>
      <c r="I27" s="18" t="s">
        <v>137</v>
      </c>
      <c r="J27" s="19" t="s">
        <v>103</v>
      </c>
      <c r="K27" s="19" t="s">
        <v>137</v>
      </c>
      <c r="L27" s="20" t="s">
        <v>122</v>
      </c>
      <c r="M27" s="20" t="s">
        <v>142</v>
      </c>
      <c r="N27" s="20" t="s">
        <v>4</v>
      </c>
      <c r="O27" s="20" t="s">
        <v>140</v>
      </c>
      <c r="P27" s="20" t="s">
        <v>141</v>
      </c>
      <c r="Q27" s="20" t="s">
        <v>107</v>
      </c>
      <c r="R27" s="20" t="s">
        <v>107</v>
      </c>
      <c r="S27" s="20" t="s">
        <v>107</v>
      </c>
    </row>
    <row r="28" spans="1:19">
      <c r="B28" s="16" t="s">
        <v>140</v>
      </c>
      <c r="C28" s="16" t="s">
        <v>143</v>
      </c>
      <c r="D28" s="17" t="s">
        <v>100</v>
      </c>
      <c r="E28" s="17" t="s">
        <v>101</v>
      </c>
      <c r="F28" s="17" t="s">
        <v>137</v>
      </c>
      <c r="G28" s="18" t="s">
        <v>100</v>
      </c>
      <c r="H28" s="18" t="s">
        <v>101</v>
      </c>
      <c r="I28" s="18" t="s">
        <v>137</v>
      </c>
      <c r="J28" s="19" t="s">
        <v>103</v>
      </c>
      <c r="K28" s="19" t="s">
        <v>137</v>
      </c>
      <c r="L28" s="20" t="s">
        <v>122</v>
      </c>
      <c r="M28" s="20" t="s">
        <v>142</v>
      </c>
      <c r="N28" s="20" t="s">
        <v>4</v>
      </c>
      <c r="O28" s="20" t="s">
        <v>140</v>
      </c>
      <c r="P28" s="20" t="s">
        <v>143</v>
      </c>
      <c r="Q28" s="20" t="s">
        <v>107</v>
      </c>
      <c r="R28" s="20" t="s">
        <v>107</v>
      </c>
      <c r="S28" s="20" t="s">
        <v>107</v>
      </c>
    </row>
    <row r="29" spans="1:19">
      <c r="B29" s="16" t="s">
        <v>140</v>
      </c>
      <c r="C29" s="16" t="s">
        <v>144</v>
      </c>
      <c r="D29" s="17" t="s">
        <v>100</v>
      </c>
      <c r="E29" s="17" t="s">
        <v>101</v>
      </c>
      <c r="F29" s="17" t="s">
        <v>137</v>
      </c>
      <c r="G29" s="18" t="s">
        <v>100</v>
      </c>
      <c r="H29" s="18" t="s">
        <v>101</v>
      </c>
      <c r="I29" s="18" t="s">
        <v>137</v>
      </c>
      <c r="J29" s="19" t="s">
        <v>103</v>
      </c>
      <c r="K29" s="19" t="s">
        <v>137</v>
      </c>
      <c r="L29" s="20" t="s">
        <v>122</v>
      </c>
      <c r="M29" s="20" t="s">
        <v>142</v>
      </c>
      <c r="N29" s="20" t="s">
        <v>4</v>
      </c>
      <c r="O29" s="20" t="s">
        <v>140</v>
      </c>
      <c r="P29" s="20" t="s">
        <v>144</v>
      </c>
      <c r="Q29" s="20" t="s">
        <v>107</v>
      </c>
      <c r="R29" s="20" t="s">
        <v>107</v>
      </c>
      <c r="S29" s="20" t="s">
        <v>107</v>
      </c>
    </row>
    <row r="30" spans="1:19">
      <c r="B30" s="16" t="s">
        <v>140</v>
      </c>
      <c r="C30" s="16" t="s">
        <v>145</v>
      </c>
      <c r="D30" s="17" t="s">
        <v>100</v>
      </c>
      <c r="E30" s="17" t="s">
        <v>101</v>
      </c>
      <c r="F30" s="17" t="s">
        <v>137</v>
      </c>
      <c r="G30" s="18" t="s">
        <v>100</v>
      </c>
      <c r="H30" s="18" t="s">
        <v>101</v>
      </c>
      <c r="I30" s="18" t="s">
        <v>137</v>
      </c>
      <c r="J30" s="19" t="s">
        <v>103</v>
      </c>
      <c r="K30" s="19" t="s">
        <v>137</v>
      </c>
      <c r="L30" s="20" t="s">
        <v>122</v>
      </c>
      <c r="M30" s="20" t="s">
        <v>142</v>
      </c>
      <c r="N30" s="20" t="s">
        <v>4</v>
      </c>
      <c r="O30" s="20" t="s">
        <v>140</v>
      </c>
      <c r="P30" s="20" t="s">
        <v>145</v>
      </c>
      <c r="Q30" s="20" t="s">
        <v>107</v>
      </c>
      <c r="R30" s="20" t="s">
        <v>107</v>
      </c>
      <c r="S30" s="20" t="s">
        <v>107</v>
      </c>
    </row>
    <row r="31" spans="1:19">
      <c r="B31" s="16" t="s">
        <v>140</v>
      </c>
      <c r="C31" s="16" t="s">
        <v>146</v>
      </c>
      <c r="D31" s="17" t="s">
        <v>100</v>
      </c>
      <c r="E31" s="17" t="s">
        <v>101</v>
      </c>
      <c r="F31" s="17" t="s">
        <v>137</v>
      </c>
      <c r="G31" s="18" t="s">
        <v>100</v>
      </c>
      <c r="H31" s="18" t="s">
        <v>101</v>
      </c>
      <c r="I31" s="18" t="s">
        <v>137</v>
      </c>
      <c r="J31" s="19" t="s">
        <v>103</v>
      </c>
      <c r="K31" s="19" t="s">
        <v>137</v>
      </c>
      <c r="L31" s="20" t="s">
        <v>122</v>
      </c>
      <c r="M31" s="20" t="s">
        <v>142</v>
      </c>
      <c r="N31" s="20" t="s">
        <v>4</v>
      </c>
      <c r="O31" s="20" t="s">
        <v>140</v>
      </c>
      <c r="P31" s="20" t="s">
        <v>146</v>
      </c>
      <c r="Q31" s="20" t="s">
        <v>107</v>
      </c>
      <c r="R31" s="20" t="s">
        <v>107</v>
      </c>
      <c r="S31" s="20" t="s">
        <v>107</v>
      </c>
    </row>
    <row r="32" spans="1:19">
      <c r="B32" s="16" t="s">
        <v>140</v>
      </c>
      <c r="C32" s="16" t="s">
        <v>147</v>
      </c>
      <c r="D32" s="17" t="s">
        <v>100</v>
      </c>
      <c r="E32" s="17" t="s">
        <v>101</v>
      </c>
      <c r="F32" s="17" t="s">
        <v>137</v>
      </c>
      <c r="G32" s="18" t="s">
        <v>100</v>
      </c>
      <c r="H32" s="18" t="s">
        <v>101</v>
      </c>
      <c r="I32" s="18" t="s">
        <v>137</v>
      </c>
      <c r="J32" s="19" t="s">
        <v>103</v>
      </c>
      <c r="K32" s="19" t="s">
        <v>137</v>
      </c>
      <c r="L32" s="20" t="s">
        <v>122</v>
      </c>
      <c r="M32" s="20" t="s">
        <v>142</v>
      </c>
      <c r="N32" s="20" t="s">
        <v>4</v>
      </c>
      <c r="O32" s="20" t="s">
        <v>140</v>
      </c>
      <c r="P32" s="20" t="s">
        <v>147</v>
      </c>
      <c r="Q32" s="20" t="s">
        <v>107</v>
      </c>
      <c r="R32" s="20" t="s">
        <v>107</v>
      </c>
      <c r="S32" s="20" t="s">
        <v>107</v>
      </c>
    </row>
    <row r="33" spans="2:19">
      <c r="B33" s="16" t="s">
        <v>148</v>
      </c>
      <c r="C33" s="16" t="s">
        <v>135</v>
      </c>
      <c r="D33" s="17" t="s">
        <v>100</v>
      </c>
      <c r="E33" s="17" t="s">
        <v>101</v>
      </c>
      <c r="F33" s="17" t="s">
        <v>137</v>
      </c>
      <c r="G33" s="18" t="s">
        <v>100</v>
      </c>
      <c r="H33" s="18" t="s">
        <v>101</v>
      </c>
      <c r="I33" s="18" t="s">
        <v>137</v>
      </c>
      <c r="J33" s="19" t="s">
        <v>103</v>
      </c>
      <c r="K33" s="19" t="s">
        <v>137</v>
      </c>
      <c r="L33" s="20" t="s">
        <v>122</v>
      </c>
      <c r="M33" s="20" t="s">
        <v>142</v>
      </c>
      <c r="N33" s="20" t="s">
        <v>59</v>
      </c>
      <c r="O33" s="20" t="s">
        <v>149</v>
      </c>
      <c r="P33" s="20" t="s">
        <v>150</v>
      </c>
      <c r="Q33" s="20" t="s">
        <v>151</v>
      </c>
      <c r="R33" s="20" t="s">
        <v>135</v>
      </c>
      <c r="S33" s="20" t="s">
        <v>107</v>
      </c>
    </row>
    <row r="34" spans="2:19">
      <c r="B34" s="16" t="s">
        <v>148</v>
      </c>
      <c r="C34" s="16" t="s">
        <v>152</v>
      </c>
      <c r="D34" s="17" t="s">
        <v>100</v>
      </c>
      <c r="E34" s="17" t="s">
        <v>101</v>
      </c>
      <c r="F34" s="17" t="s">
        <v>137</v>
      </c>
      <c r="G34" s="18" t="s">
        <v>100</v>
      </c>
      <c r="H34" s="18" t="s">
        <v>101</v>
      </c>
      <c r="I34" s="18" t="s">
        <v>137</v>
      </c>
      <c r="J34" s="19" t="s">
        <v>103</v>
      </c>
      <c r="K34" s="19" t="s">
        <v>137</v>
      </c>
      <c r="L34" s="20" t="s">
        <v>122</v>
      </c>
      <c r="M34" s="20" t="s">
        <v>142</v>
      </c>
      <c r="N34" s="20" t="s">
        <v>59</v>
      </c>
      <c r="O34" s="20" t="s">
        <v>149</v>
      </c>
      <c r="P34" s="20" t="s">
        <v>150</v>
      </c>
      <c r="Q34" s="20" t="s">
        <v>153</v>
      </c>
      <c r="R34" s="20" t="s">
        <v>152</v>
      </c>
      <c r="S34" s="20" t="s">
        <v>107</v>
      </c>
    </row>
    <row r="35" spans="2:19">
      <c r="B35" s="16" t="s">
        <v>148</v>
      </c>
      <c r="C35" s="16" t="s">
        <v>154</v>
      </c>
      <c r="D35" s="17" t="s">
        <v>100</v>
      </c>
      <c r="E35" s="17" t="s">
        <v>101</v>
      </c>
      <c r="F35" s="17" t="s">
        <v>137</v>
      </c>
      <c r="G35" s="18" t="s">
        <v>100</v>
      </c>
      <c r="H35" s="18" t="s">
        <v>101</v>
      </c>
      <c r="I35" s="18" t="s">
        <v>137</v>
      </c>
      <c r="J35" s="19" t="s">
        <v>103</v>
      </c>
      <c r="K35" s="19" t="s">
        <v>137</v>
      </c>
      <c r="L35" s="20" t="s">
        <v>122</v>
      </c>
      <c r="M35" s="20" t="s">
        <v>142</v>
      </c>
      <c r="N35" s="20" t="s">
        <v>59</v>
      </c>
      <c r="O35" s="20" t="s">
        <v>149</v>
      </c>
      <c r="P35" s="20" t="s">
        <v>150</v>
      </c>
      <c r="Q35" s="20" t="s">
        <v>153</v>
      </c>
      <c r="R35" s="20" t="s">
        <v>154</v>
      </c>
      <c r="S35" s="20" t="s">
        <v>107</v>
      </c>
    </row>
    <row r="36" spans="2:19">
      <c r="B36" s="16" t="s">
        <v>155</v>
      </c>
      <c r="C36" s="16" t="s">
        <v>135</v>
      </c>
      <c r="D36" s="17" t="s">
        <v>100</v>
      </c>
      <c r="E36" s="17" t="s">
        <v>101</v>
      </c>
      <c r="F36" s="17" t="s">
        <v>137</v>
      </c>
      <c r="G36" s="18" t="s">
        <v>100</v>
      </c>
      <c r="H36" s="18" t="s">
        <v>101</v>
      </c>
      <c r="I36" s="18" t="s">
        <v>137</v>
      </c>
      <c r="J36" s="19" t="s">
        <v>103</v>
      </c>
      <c r="K36" s="19" t="s">
        <v>137</v>
      </c>
      <c r="L36" s="20" t="s">
        <v>122</v>
      </c>
      <c r="M36" s="20" t="s">
        <v>142</v>
      </c>
      <c r="N36" s="20" t="s">
        <v>59</v>
      </c>
      <c r="O36" s="20" t="s">
        <v>156</v>
      </c>
      <c r="P36" s="20" t="s">
        <v>150</v>
      </c>
      <c r="Q36" s="20" t="s">
        <v>157</v>
      </c>
      <c r="R36" s="20" t="s">
        <v>151</v>
      </c>
      <c r="S36" s="20" t="s">
        <v>135</v>
      </c>
    </row>
    <row r="37" spans="2:19">
      <c r="B37" s="16" t="s">
        <v>155</v>
      </c>
      <c r="C37" s="16" t="s">
        <v>152</v>
      </c>
      <c r="D37" s="17" t="s">
        <v>100</v>
      </c>
      <c r="E37" s="17" t="s">
        <v>101</v>
      </c>
      <c r="F37" s="17" t="s">
        <v>137</v>
      </c>
      <c r="G37" s="18" t="s">
        <v>100</v>
      </c>
      <c r="H37" s="18" t="s">
        <v>101</v>
      </c>
      <c r="I37" s="18" t="s">
        <v>137</v>
      </c>
      <c r="J37" s="19" t="s">
        <v>103</v>
      </c>
      <c r="K37" s="19" t="s">
        <v>137</v>
      </c>
      <c r="L37" s="20" t="s">
        <v>122</v>
      </c>
      <c r="M37" s="20" t="s">
        <v>142</v>
      </c>
      <c r="N37" s="20" t="s">
        <v>59</v>
      </c>
      <c r="O37" s="20" t="s">
        <v>156</v>
      </c>
      <c r="P37" s="20" t="s">
        <v>150</v>
      </c>
      <c r="Q37" s="20" t="s">
        <v>157</v>
      </c>
      <c r="R37" s="20" t="s">
        <v>153</v>
      </c>
      <c r="S37" s="20" t="s">
        <v>152</v>
      </c>
    </row>
    <row r="38" spans="2:19">
      <c r="B38" s="16" t="s">
        <v>155</v>
      </c>
      <c r="C38" s="16" t="s">
        <v>154</v>
      </c>
      <c r="D38" s="17" t="s">
        <v>100</v>
      </c>
      <c r="E38" s="17" t="s">
        <v>101</v>
      </c>
      <c r="F38" s="17" t="s">
        <v>137</v>
      </c>
      <c r="G38" s="18" t="s">
        <v>100</v>
      </c>
      <c r="H38" s="18" t="s">
        <v>101</v>
      </c>
      <c r="I38" s="18" t="s">
        <v>137</v>
      </c>
      <c r="J38" s="19" t="s">
        <v>103</v>
      </c>
      <c r="K38" s="19" t="s">
        <v>137</v>
      </c>
      <c r="L38" s="20" t="s">
        <v>122</v>
      </c>
      <c r="M38" s="20" t="s">
        <v>142</v>
      </c>
      <c r="N38" s="20" t="s">
        <v>59</v>
      </c>
      <c r="O38" s="20" t="s">
        <v>156</v>
      </c>
      <c r="P38" s="20" t="s">
        <v>150</v>
      </c>
      <c r="Q38" s="20" t="s">
        <v>157</v>
      </c>
      <c r="R38" s="20" t="s">
        <v>153</v>
      </c>
      <c r="S38" s="20" t="s">
        <v>154</v>
      </c>
    </row>
    <row r="39" spans="2:19">
      <c r="B39" s="16" t="s">
        <v>158</v>
      </c>
      <c r="C39" s="16" t="s">
        <v>159</v>
      </c>
      <c r="D39" s="17" t="s">
        <v>100</v>
      </c>
      <c r="E39" s="17" t="s">
        <v>101</v>
      </c>
      <c r="F39" s="17" t="s">
        <v>137</v>
      </c>
      <c r="G39" s="18" t="s">
        <v>100</v>
      </c>
      <c r="H39" s="18" t="s">
        <v>101</v>
      </c>
      <c r="I39" s="18" t="s">
        <v>137</v>
      </c>
      <c r="J39" s="19" t="s">
        <v>103</v>
      </c>
      <c r="K39" s="19" t="s">
        <v>137</v>
      </c>
      <c r="L39" s="20" t="s">
        <v>122</v>
      </c>
      <c r="M39" s="20" t="s">
        <v>142</v>
      </c>
      <c r="N39" s="20" t="s">
        <v>160</v>
      </c>
      <c r="O39" s="20" t="s">
        <v>158</v>
      </c>
      <c r="P39" s="20" t="s">
        <v>159</v>
      </c>
      <c r="Q39" s="20" t="s">
        <v>107</v>
      </c>
      <c r="R39" s="20" t="s">
        <v>107</v>
      </c>
      <c r="S39" s="20" t="s">
        <v>107</v>
      </c>
    </row>
    <row r="40" spans="2:19">
      <c r="B40" s="16" t="s">
        <v>158</v>
      </c>
      <c r="C40" s="16" t="s">
        <v>161</v>
      </c>
      <c r="D40" s="17" t="s">
        <v>100</v>
      </c>
      <c r="E40" s="17" t="s">
        <v>101</v>
      </c>
      <c r="F40" s="17" t="s">
        <v>137</v>
      </c>
      <c r="G40" s="18" t="s">
        <v>100</v>
      </c>
      <c r="H40" s="18" t="s">
        <v>101</v>
      </c>
      <c r="I40" s="18" t="s">
        <v>137</v>
      </c>
      <c r="J40" s="19" t="s">
        <v>103</v>
      </c>
      <c r="K40" s="19" t="s">
        <v>137</v>
      </c>
      <c r="L40" s="20" t="s">
        <v>122</v>
      </c>
      <c r="M40" s="20" t="s">
        <v>142</v>
      </c>
      <c r="N40" s="20" t="s">
        <v>160</v>
      </c>
      <c r="O40" s="20" t="s">
        <v>158</v>
      </c>
      <c r="P40" s="20" t="s">
        <v>161</v>
      </c>
      <c r="Q40" s="20" t="s">
        <v>107</v>
      </c>
      <c r="R40" s="20" t="s">
        <v>107</v>
      </c>
      <c r="S40" s="20" t="s">
        <v>107</v>
      </c>
    </row>
    <row r="41" spans="2:19">
      <c r="B41" s="16" t="s">
        <v>158</v>
      </c>
      <c r="C41" s="16" t="s">
        <v>162</v>
      </c>
      <c r="D41" s="17" t="s">
        <v>100</v>
      </c>
      <c r="E41" s="17" t="s">
        <v>101</v>
      </c>
      <c r="F41" s="17" t="s">
        <v>137</v>
      </c>
      <c r="G41" s="18" t="s">
        <v>100</v>
      </c>
      <c r="H41" s="18" t="s">
        <v>101</v>
      </c>
      <c r="I41" s="18" t="s">
        <v>137</v>
      </c>
      <c r="J41" s="19" t="s">
        <v>103</v>
      </c>
      <c r="K41" s="19" t="s">
        <v>137</v>
      </c>
      <c r="L41" s="20" t="s">
        <v>122</v>
      </c>
      <c r="M41" s="20" t="s">
        <v>142</v>
      </c>
      <c r="N41" s="20" t="s">
        <v>160</v>
      </c>
      <c r="O41" s="20" t="s">
        <v>158</v>
      </c>
      <c r="P41" s="20" t="s">
        <v>162</v>
      </c>
      <c r="Q41" s="20" t="s">
        <v>107</v>
      </c>
      <c r="R41" s="20" t="s">
        <v>107</v>
      </c>
      <c r="S41" s="20" t="s">
        <v>107</v>
      </c>
    </row>
    <row r="42" spans="2:19">
      <c r="B42" s="16" t="s">
        <v>158</v>
      </c>
      <c r="C42" s="16" t="s">
        <v>163</v>
      </c>
      <c r="D42" s="17" t="s">
        <v>100</v>
      </c>
      <c r="E42" s="17" t="s">
        <v>101</v>
      </c>
      <c r="F42" s="17" t="s">
        <v>137</v>
      </c>
      <c r="G42" s="18" t="s">
        <v>100</v>
      </c>
      <c r="H42" s="18" t="s">
        <v>101</v>
      </c>
      <c r="I42" s="18" t="s">
        <v>137</v>
      </c>
      <c r="J42" s="19" t="s">
        <v>103</v>
      </c>
      <c r="K42" s="19" t="s">
        <v>137</v>
      </c>
      <c r="L42" s="20" t="s">
        <v>122</v>
      </c>
      <c r="M42" s="20" t="s">
        <v>142</v>
      </c>
      <c r="N42" s="20" t="s">
        <v>160</v>
      </c>
      <c r="O42" s="20" t="s">
        <v>158</v>
      </c>
      <c r="P42" s="20" t="s">
        <v>163</v>
      </c>
      <c r="Q42" s="20" t="s">
        <v>107</v>
      </c>
      <c r="R42" s="20" t="s">
        <v>107</v>
      </c>
      <c r="S42" s="20" t="s">
        <v>107</v>
      </c>
    </row>
    <row r="43" spans="2:19">
      <c r="B43" s="16" t="s">
        <v>158</v>
      </c>
      <c r="C43" s="16" t="s">
        <v>164</v>
      </c>
      <c r="D43" s="17" t="s">
        <v>100</v>
      </c>
      <c r="E43" s="17" t="s">
        <v>101</v>
      </c>
      <c r="F43" s="17" t="s">
        <v>137</v>
      </c>
      <c r="G43" s="18" t="s">
        <v>100</v>
      </c>
      <c r="H43" s="18" t="s">
        <v>101</v>
      </c>
      <c r="I43" s="18" t="s">
        <v>137</v>
      </c>
      <c r="J43" s="19" t="s">
        <v>103</v>
      </c>
      <c r="K43" s="19" t="s">
        <v>137</v>
      </c>
      <c r="L43" s="20" t="s">
        <v>122</v>
      </c>
      <c r="M43" s="20" t="s">
        <v>142</v>
      </c>
      <c r="N43" s="20" t="s">
        <v>160</v>
      </c>
      <c r="O43" s="20" t="s">
        <v>158</v>
      </c>
      <c r="P43" s="20" t="s">
        <v>164</v>
      </c>
      <c r="Q43" s="20" t="s">
        <v>107</v>
      </c>
      <c r="R43" s="20" t="s">
        <v>107</v>
      </c>
      <c r="S43" s="20" t="s">
        <v>107</v>
      </c>
    </row>
    <row r="44" spans="2:19">
      <c r="B44" s="16" t="s">
        <v>158</v>
      </c>
      <c r="C44" s="16" t="s">
        <v>165</v>
      </c>
      <c r="D44" s="17" t="s">
        <v>100</v>
      </c>
      <c r="E44" s="17" t="s">
        <v>101</v>
      </c>
      <c r="F44" s="17" t="s">
        <v>137</v>
      </c>
      <c r="G44" s="18" t="s">
        <v>100</v>
      </c>
      <c r="H44" s="18" t="s">
        <v>101</v>
      </c>
      <c r="I44" s="18" t="s">
        <v>137</v>
      </c>
      <c r="J44" s="19" t="s">
        <v>103</v>
      </c>
      <c r="K44" s="19" t="s">
        <v>137</v>
      </c>
      <c r="L44" s="20" t="s">
        <v>122</v>
      </c>
      <c r="M44" s="20" t="s">
        <v>142</v>
      </c>
      <c r="N44" s="20" t="s">
        <v>160</v>
      </c>
      <c r="O44" s="20" t="s">
        <v>158</v>
      </c>
      <c r="P44" s="20" t="s">
        <v>165</v>
      </c>
      <c r="Q44" s="20" t="s">
        <v>107</v>
      </c>
      <c r="R44" s="20" t="s">
        <v>107</v>
      </c>
      <c r="S44" s="20" t="s">
        <v>107</v>
      </c>
    </row>
    <row r="45" spans="2:19">
      <c r="B45" s="16" t="s">
        <v>158</v>
      </c>
      <c r="C45" s="16" t="s">
        <v>166</v>
      </c>
      <c r="D45" s="17" t="s">
        <v>100</v>
      </c>
      <c r="E45" s="17" t="s">
        <v>101</v>
      </c>
      <c r="F45" s="17" t="s">
        <v>137</v>
      </c>
      <c r="G45" s="18" t="s">
        <v>100</v>
      </c>
      <c r="H45" s="18" t="s">
        <v>101</v>
      </c>
      <c r="I45" s="18" t="s">
        <v>137</v>
      </c>
      <c r="J45" s="19" t="s">
        <v>103</v>
      </c>
      <c r="K45" s="19" t="s">
        <v>137</v>
      </c>
      <c r="L45" s="20" t="s">
        <v>122</v>
      </c>
      <c r="M45" s="20" t="s">
        <v>142</v>
      </c>
      <c r="N45" s="20" t="s">
        <v>160</v>
      </c>
      <c r="O45" s="20" t="s">
        <v>158</v>
      </c>
      <c r="P45" s="20" t="s">
        <v>166</v>
      </c>
      <c r="Q45" s="20" t="s">
        <v>107</v>
      </c>
      <c r="R45" s="20" t="s">
        <v>107</v>
      </c>
      <c r="S45" s="20" t="s">
        <v>107</v>
      </c>
    </row>
    <row r="46" spans="2:19">
      <c r="B46" s="16" t="s">
        <v>158</v>
      </c>
      <c r="C46" s="16" t="s">
        <v>167</v>
      </c>
      <c r="D46" s="17" t="s">
        <v>100</v>
      </c>
      <c r="E46" s="17" t="s">
        <v>101</v>
      </c>
      <c r="F46" s="17" t="s">
        <v>137</v>
      </c>
      <c r="G46" s="18" t="s">
        <v>100</v>
      </c>
      <c r="H46" s="18" t="s">
        <v>101</v>
      </c>
      <c r="I46" s="18" t="s">
        <v>137</v>
      </c>
      <c r="J46" s="19" t="s">
        <v>103</v>
      </c>
      <c r="K46" s="19" t="s">
        <v>137</v>
      </c>
      <c r="L46" s="20" t="s">
        <v>122</v>
      </c>
      <c r="M46" s="20" t="s">
        <v>142</v>
      </c>
      <c r="N46" s="20" t="s">
        <v>160</v>
      </c>
      <c r="O46" s="20" t="s">
        <v>158</v>
      </c>
      <c r="P46" s="20" t="s">
        <v>167</v>
      </c>
      <c r="Q46" s="20" t="s">
        <v>107</v>
      </c>
      <c r="R46" s="20" t="s">
        <v>107</v>
      </c>
      <c r="S46" s="20" t="s">
        <v>107</v>
      </c>
    </row>
    <row r="47" spans="2:19">
      <c r="B47" s="16" t="s">
        <v>158</v>
      </c>
      <c r="C47" s="16" t="s">
        <v>168</v>
      </c>
      <c r="D47" s="17" t="s">
        <v>100</v>
      </c>
      <c r="E47" s="17" t="s">
        <v>101</v>
      </c>
      <c r="F47" s="17" t="s">
        <v>137</v>
      </c>
      <c r="G47" s="18" t="s">
        <v>100</v>
      </c>
      <c r="H47" s="18" t="s">
        <v>101</v>
      </c>
      <c r="I47" s="18" t="s">
        <v>137</v>
      </c>
      <c r="J47" s="19" t="s">
        <v>103</v>
      </c>
      <c r="K47" s="19" t="s">
        <v>137</v>
      </c>
      <c r="L47" s="20" t="s">
        <v>122</v>
      </c>
      <c r="M47" s="20" t="s">
        <v>142</v>
      </c>
      <c r="N47" s="20" t="s">
        <v>160</v>
      </c>
      <c r="O47" s="20" t="s">
        <v>158</v>
      </c>
      <c r="P47" s="20" t="s">
        <v>168</v>
      </c>
      <c r="Q47" s="20" t="s">
        <v>107</v>
      </c>
      <c r="R47" s="20" t="s">
        <v>107</v>
      </c>
      <c r="S47" s="20" t="s">
        <v>107</v>
      </c>
    </row>
    <row r="48" spans="2:19">
      <c r="B48" s="16" t="s">
        <v>169</v>
      </c>
      <c r="C48" s="16" t="s">
        <v>170</v>
      </c>
      <c r="D48" s="17" t="s">
        <v>100</v>
      </c>
      <c r="E48" s="17" t="s">
        <v>101</v>
      </c>
      <c r="F48" s="17" t="s">
        <v>137</v>
      </c>
      <c r="G48" s="18" t="s">
        <v>100</v>
      </c>
      <c r="H48" s="18" t="s">
        <v>101</v>
      </c>
      <c r="I48" s="18" t="s">
        <v>137</v>
      </c>
      <c r="J48" s="19" t="s">
        <v>103</v>
      </c>
      <c r="K48" s="19" t="s">
        <v>137</v>
      </c>
      <c r="L48" s="20" t="s">
        <v>105</v>
      </c>
      <c r="M48" s="20" t="s">
        <v>171</v>
      </c>
      <c r="N48" s="20" t="s">
        <v>172</v>
      </c>
      <c r="O48" s="20" t="s">
        <v>169</v>
      </c>
      <c r="P48" s="20" t="s">
        <v>170</v>
      </c>
      <c r="Q48" s="20" t="s">
        <v>107</v>
      </c>
      <c r="R48" s="20" t="s">
        <v>107</v>
      </c>
      <c r="S48" s="20" t="s">
        <v>107</v>
      </c>
    </row>
    <row r="49" spans="2:19">
      <c r="B49" s="16" t="s">
        <v>173</v>
      </c>
      <c r="C49" s="16" t="s">
        <v>174</v>
      </c>
      <c r="D49" s="17" t="s">
        <v>100</v>
      </c>
      <c r="E49" s="17" t="s">
        <v>101</v>
      </c>
      <c r="F49" s="17" t="s">
        <v>175</v>
      </c>
      <c r="G49" s="18" t="s">
        <v>176</v>
      </c>
      <c r="H49" s="18" t="s">
        <v>101</v>
      </c>
      <c r="I49" s="18" t="s">
        <v>175</v>
      </c>
      <c r="J49" s="19" t="s">
        <v>103</v>
      </c>
      <c r="K49" s="19" t="s">
        <v>173</v>
      </c>
      <c r="L49" s="20" t="s">
        <v>105</v>
      </c>
      <c r="M49" s="20" t="s">
        <v>103</v>
      </c>
      <c r="N49" s="20" t="s">
        <v>177</v>
      </c>
      <c r="O49" s="20" t="s">
        <v>173</v>
      </c>
      <c r="P49" s="20" t="s">
        <v>178</v>
      </c>
      <c r="Q49" s="20" t="s">
        <v>179</v>
      </c>
      <c r="R49" s="20" t="s">
        <v>107</v>
      </c>
      <c r="S49" s="20" t="s">
        <v>107</v>
      </c>
    </row>
    <row r="50" spans="2:19">
      <c r="B50" s="16" t="s">
        <v>173</v>
      </c>
      <c r="C50" s="16" t="s">
        <v>86</v>
      </c>
      <c r="D50" s="17" t="s">
        <v>100</v>
      </c>
      <c r="E50" s="17" t="s">
        <v>101</v>
      </c>
      <c r="F50" s="17" t="s">
        <v>175</v>
      </c>
      <c r="G50" s="18" t="s">
        <v>176</v>
      </c>
      <c r="H50" s="18" t="s">
        <v>101</v>
      </c>
      <c r="I50" s="18" t="s">
        <v>175</v>
      </c>
      <c r="J50" s="19" t="s">
        <v>103</v>
      </c>
      <c r="K50" s="19" t="s">
        <v>173</v>
      </c>
      <c r="L50" s="20" t="s">
        <v>105</v>
      </c>
      <c r="M50" s="20" t="s">
        <v>103</v>
      </c>
      <c r="N50" s="20" t="s">
        <v>177</v>
      </c>
      <c r="O50" s="20" t="s">
        <v>173</v>
      </c>
      <c r="P50" s="20" t="s">
        <v>86</v>
      </c>
      <c r="Q50" s="20" t="s">
        <v>179</v>
      </c>
      <c r="R50" s="20" t="s">
        <v>107</v>
      </c>
      <c r="S50" s="20" t="s">
        <v>107</v>
      </c>
    </row>
    <row r="51" spans="2:19">
      <c r="B51" s="16" t="s">
        <v>173</v>
      </c>
      <c r="C51" s="16" t="s">
        <v>180</v>
      </c>
      <c r="D51" s="17" t="s">
        <v>100</v>
      </c>
      <c r="E51" s="17" t="s">
        <v>101</v>
      </c>
      <c r="F51" s="17" t="s">
        <v>175</v>
      </c>
      <c r="G51" s="18" t="s">
        <v>176</v>
      </c>
      <c r="H51" s="18" t="s">
        <v>101</v>
      </c>
      <c r="I51" s="18" t="s">
        <v>175</v>
      </c>
      <c r="J51" s="19" t="s">
        <v>103</v>
      </c>
      <c r="K51" s="19" t="s">
        <v>173</v>
      </c>
      <c r="L51" s="20" t="s">
        <v>105</v>
      </c>
      <c r="M51" s="20" t="s">
        <v>103</v>
      </c>
      <c r="N51" s="20" t="s">
        <v>177</v>
      </c>
      <c r="O51" s="20" t="s">
        <v>173</v>
      </c>
      <c r="P51" s="20" t="s">
        <v>181</v>
      </c>
      <c r="Q51" s="20" t="s">
        <v>182</v>
      </c>
      <c r="R51" s="20" t="s">
        <v>107</v>
      </c>
      <c r="S51" s="20" t="s">
        <v>107</v>
      </c>
    </row>
    <row r="52" spans="2:19">
      <c r="B52" s="16" t="s">
        <v>173</v>
      </c>
      <c r="C52" s="16" t="s">
        <v>183</v>
      </c>
      <c r="D52" s="17" t="s">
        <v>100</v>
      </c>
      <c r="E52" s="17" t="s">
        <v>101</v>
      </c>
      <c r="F52" s="17" t="s">
        <v>175</v>
      </c>
      <c r="G52" s="18" t="s">
        <v>176</v>
      </c>
      <c r="H52" s="18" t="s">
        <v>101</v>
      </c>
      <c r="I52" s="18" t="s">
        <v>175</v>
      </c>
      <c r="J52" s="19" t="s">
        <v>103</v>
      </c>
      <c r="K52" s="19" t="s">
        <v>173</v>
      </c>
      <c r="L52" s="20" t="s">
        <v>105</v>
      </c>
      <c r="M52" s="20" t="s">
        <v>103</v>
      </c>
      <c r="N52" s="20" t="s">
        <v>177</v>
      </c>
      <c r="O52" s="20" t="s">
        <v>173</v>
      </c>
      <c r="P52" s="20" t="s">
        <v>183</v>
      </c>
      <c r="Q52" s="20" t="s">
        <v>179</v>
      </c>
      <c r="R52" s="20" t="s">
        <v>107</v>
      </c>
      <c r="S52" s="20" t="s">
        <v>107</v>
      </c>
    </row>
    <row r="53" spans="2:19">
      <c r="B53" s="16" t="s">
        <v>173</v>
      </c>
      <c r="C53" s="16" t="s">
        <v>184</v>
      </c>
      <c r="D53" s="17" t="s">
        <v>100</v>
      </c>
      <c r="E53" s="17" t="s">
        <v>101</v>
      </c>
      <c r="F53" s="17" t="s">
        <v>175</v>
      </c>
      <c r="G53" s="18" t="s">
        <v>176</v>
      </c>
      <c r="H53" s="18" t="s">
        <v>101</v>
      </c>
      <c r="I53" s="18" t="s">
        <v>175</v>
      </c>
      <c r="J53" s="19" t="s">
        <v>103</v>
      </c>
      <c r="K53" s="19" t="s">
        <v>173</v>
      </c>
      <c r="L53" s="20" t="s">
        <v>105</v>
      </c>
      <c r="M53" s="20" t="s">
        <v>103</v>
      </c>
      <c r="N53" s="20" t="s">
        <v>177</v>
      </c>
      <c r="O53" s="20" t="s">
        <v>173</v>
      </c>
      <c r="P53" s="20" t="s">
        <v>185</v>
      </c>
      <c r="Q53" s="20" t="s">
        <v>179</v>
      </c>
      <c r="R53" s="20" t="s">
        <v>107</v>
      </c>
      <c r="S53" s="20" t="s">
        <v>107</v>
      </c>
    </row>
    <row r="54" spans="2:19">
      <c r="B54" s="16" t="s">
        <v>173</v>
      </c>
      <c r="C54" s="16" t="s">
        <v>186</v>
      </c>
      <c r="D54" s="17" t="s">
        <v>100</v>
      </c>
      <c r="E54" s="17" t="s">
        <v>101</v>
      </c>
      <c r="F54" s="17" t="s">
        <v>175</v>
      </c>
      <c r="G54" s="18" t="s">
        <v>176</v>
      </c>
      <c r="H54" s="18" t="s">
        <v>101</v>
      </c>
      <c r="I54" s="18" t="s">
        <v>175</v>
      </c>
      <c r="J54" s="19" t="s">
        <v>103</v>
      </c>
      <c r="K54" s="19" t="s">
        <v>173</v>
      </c>
      <c r="L54" s="20" t="s">
        <v>105</v>
      </c>
      <c r="M54" s="20" t="s">
        <v>103</v>
      </c>
      <c r="N54" s="20" t="s">
        <v>177</v>
      </c>
      <c r="O54" s="20" t="s">
        <v>173</v>
      </c>
      <c r="P54" s="20" t="s">
        <v>186</v>
      </c>
      <c r="Q54" s="20" t="s">
        <v>107</v>
      </c>
      <c r="R54" s="20" t="s">
        <v>107</v>
      </c>
      <c r="S54" s="20" t="s">
        <v>107</v>
      </c>
    </row>
    <row r="55" spans="2:19">
      <c r="B55" s="16" t="s">
        <v>173</v>
      </c>
      <c r="C55" s="16" t="s">
        <v>187</v>
      </c>
      <c r="D55" s="17" t="s">
        <v>100</v>
      </c>
      <c r="E55" s="17" t="s">
        <v>101</v>
      </c>
      <c r="F55" s="17" t="s">
        <v>175</v>
      </c>
      <c r="G55" s="18" t="s">
        <v>176</v>
      </c>
      <c r="H55" s="18" t="s">
        <v>101</v>
      </c>
      <c r="I55" s="18" t="s">
        <v>175</v>
      </c>
      <c r="J55" s="19" t="s">
        <v>103</v>
      </c>
      <c r="K55" s="19" t="s">
        <v>173</v>
      </c>
      <c r="L55" s="20" t="s">
        <v>105</v>
      </c>
      <c r="M55" s="20" t="s">
        <v>103</v>
      </c>
      <c r="N55" s="20" t="s">
        <v>177</v>
      </c>
      <c r="O55" s="20" t="s">
        <v>173</v>
      </c>
      <c r="P55" s="20" t="s">
        <v>187</v>
      </c>
      <c r="Q55" s="20" t="s">
        <v>107</v>
      </c>
      <c r="R55" s="20" t="s">
        <v>107</v>
      </c>
      <c r="S55" s="20" t="s">
        <v>107</v>
      </c>
    </row>
    <row r="56" spans="2:19">
      <c r="B56" s="16" t="s">
        <v>173</v>
      </c>
      <c r="C56" s="16" t="s">
        <v>188</v>
      </c>
      <c r="D56" s="17" t="s">
        <v>100</v>
      </c>
      <c r="E56" s="17" t="s">
        <v>101</v>
      </c>
      <c r="F56" s="17" t="s">
        <v>175</v>
      </c>
      <c r="G56" s="18" t="s">
        <v>176</v>
      </c>
      <c r="H56" s="18" t="s">
        <v>101</v>
      </c>
      <c r="I56" s="18" t="s">
        <v>175</v>
      </c>
      <c r="J56" s="19" t="s">
        <v>103</v>
      </c>
      <c r="K56" s="19" t="s">
        <v>173</v>
      </c>
      <c r="L56" s="20" t="s">
        <v>105</v>
      </c>
      <c r="M56" s="20" t="s">
        <v>103</v>
      </c>
      <c r="N56" s="20" t="s">
        <v>177</v>
      </c>
      <c r="O56" s="20" t="s">
        <v>173</v>
      </c>
      <c r="P56" s="20" t="s">
        <v>189</v>
      </c>
      <c r="Q56" s="20" t="s">
        <v>179</v>
      </c>
      <c r="R56" s="20" t="s">
        <v>107</v>
      </c>
      <c r="S56" s="20" t="s">
        <v>107</v>
      </c>
    </row>
    <row r="57" spans="2:19">
      <c r="B57" s="16" t="s">
        <v>173</v>
      </c>
      <c r="C57" s="16" t="s">
        <v>190</v>
      </c>
      <c r="D57" s="17" t="s">
        <v>100</v>
      </c>
      <c r="E57" s="17" t="s">
        <v>101</v>
      </c>
      <c r="F57" s="17" t="s">
        <v>175</v>
      </c>
      <c r="G57" s="18" t="s">
        <v>176</v>
      </c>
      <c r="H57" s="18" t="s">
        <v>101</v>
      </c>
      <c r="I57" s="18" t="s">
        <v>175</v>
      </c>
      <c r="J57" s="19" t="s">
        <v>103</v>
      </c>
      <c r="K57" s="19" t="s">
        <v>173</v>
      </c>
      <c r="L57" s="20" t="s">
        <v>105</v>
      </c>
      <c r="M57" s="20" t="s">
        <v>103</v>
      </c>
      <c r="N57" s="20" t="s">
        <v>177</v>
      </c>
      <c r="O57" s="20" t="s">
        <v>173</v>
      </c>
      <c r="P57" s="20" t="s">
        <v>191</v>
      </c>
      <c r="Q57" s="20" t="s">
        <v>107</v>
      </c>
      <c r="R57" s="20" t="s">
        <v>107</v>
      </c>
      <c r="S57" s="20" t="s">
        <v>107</v>
      </c>
    </row>
    <row r="58" spans="2:19">
      <c r="B58" s="16" t="s">
        <v>173</v>
      </c>
      <c r="C58" s="16" t="s">
        <v>192</v>
      </c>
      <c r="D58" s="17" t="s">
        <v>100</v>
      </c>
      <c r="E58" s="17" t="s">
        <v>101</v>
      </c>
      <c r="F58" s="17" t="s">
        <v>175</v>
      </c>
      <c r="G58" s="18" t="s">
        <v>176</v>
      </c>
      <c r="H58" s="18" t="s">
        <v>101</v>
      </c>
      <c r="I58" s="18" t="s">
        <v>175</v>
      </c>
      <c r="J58" s="19" t="s">
        <v>103</v>
      </c>
      <c r="K58" s="19" t="s">
        <v>173</v>
      </c>
      <c r="L58" s="20" t="s">
        <v>105</v>
      </c>
      <c r="M58" s="20" t="s">
        <v>103</v>
      </c>
      <c r="N58" s="20" t="s">
        <v>177</v>
      </c>
      <c r="O58" s="20" t="s">
        <v>173</v>
      </c>
      <c r="P58" s="20" t="s">
        <v>193</v>
      </c>
      <c r="Q58" s="20" t="s">
        <v>107</v>
      </c>
      <c r="R58" s="20" t="s">
        <v>107</v>
      </c>
      <c r="S58" s="20" t="s">
        <v>107</v>
      </c>
    </row>
    <row r="59" spans="2:19">
      <c r="B59" s="16" t="s">
        <v>173</v>
      </c>
      <c r="C59" s="16" t="s">
        <v>194</v>
      </c>
      <c r="D59" s="17" t="s">
        <v>100</v>
      </c>
      <c r="E59" s="17" t="s">
        <v>101</v>
      </c>
      <c r="F59" s="17" t="s">
        <v>175</v>
      </c>
      <c r="G59" s="18" t="s">
        <v>176</v>
      </c>
      <c r="H59" s="18" t="s">
        <v>101</v>
      </c>
      <c r="I59" s="18" t="s">
        <v>175</v>
      </c>
      <c r="J59" s="19" t="s">
        <v>103</v>
      </c>
      <c r="K59" s="19" t="s">
        <v>173</v>
      </c>
      <c r="L59" s="20" t="s">
        <v>105</v>
      </c>
      <c r="M59" s="20" t="s">
        <v>103</v>
      </c>
      <c r="N59" s="20" t="s">
        <v>177</v>
      </c>
      <c r="O59" s="20" t="s">
        <v>173</v>
      </c>
      <c r="P59" s="20" t="s">
        <v>195</v>
      </c>
      <c r="Q59" s="20" t="s">
        <v>179</v>
      </c>
      <c r="R59" s="20" t="s">
        <v>107</v>
      </c>
      <c r="S59" s="20" t="s">
        <v>107</v>
      </c>
    </row>
    <row r="60" spans="2:19">
      <c r="B60" s="16" t="s">
        <v>173</v>
      </c>
      <c r="C60" s="16" t="s">
        <v>196</v>
      </c>
      <c r="D60" s="17" t="s">
        <v>100</v>
      </c>
      <c r="E60" s="17" t="s">
        <v>101</v>
      </c>
      <c r="F60" s="17" t="s">
        <v>175</v>
      </c>
      <c r="G60" s="18" t="s">
        <v>176</v>
      </c>
      <c r="H60" s="18" t="s">
        <v>101</v>
      </c>
      <c r="I60" s="18" t="s">
        <v>175</v>
      </c>
      <c r="J60" s="19" t="s">
        <v>103</v>
      </c>
      <c r="K60" s="19" t="s">
        <v>173</v>
      </c>
      <c r="L60" s="20" t="s">
        <v>105</v>
      </c>
      <c r="M60" s="20" t="s">
        <v>103</v>
      </c>
      <c r="N60" s="20" t="s">
        <v>177</v>
      </c>
      <c r="O60" s="20" t="s">
        <v>173</v>
      </c>
      <c r="P60" s="20" t="s">
        <v>197</v>
      </c>
      <c r="Q60" s="20" t="s">
        <v>179</v>
      </c>
      <c r="R60" s="20" t="s">
        <v>107</v>
      </c>
      <c r="S60" s="20" t="s">
        <v>107</v>
      </c>
    </row>
    <row r="61" spans="2:19">
      <c r="B61" s="16" t="s">
        <v>10</v>
      </c>
      <c r="C61" s="16" t="s">
        <v>198</v>
      </c>
      <c r="D61" s="17" t="s">
        <v>100</v>
      </c>
      <c r="E61" s="17" t="s">
        <v>101</v>
      </c>
      <c r="F61" s="17" t="s">
        <v>10</v>
      </c>
      <c r="G61" s="18" t="s">
        <v>176</v>
      </c>
      <c r="H61" s="18" t="s">
        <v>101</v>
      </c>
      <c r="I61" s="18" t="s">
        <v>10</v>
      </c>
      <c r="J61" s="19" t="s">
        <v>103</v>
      </c>
      <c r="K61" s="19" t="s">
        <v>199</v>
      </c>
      <c r="L61" s="20" t="s">
        <v>105</v>
      </c>
      <c r="M61" s="20" t="s">
        <v>103</v>
      </c>
      <c r="N61" s="20" t="s">
        <v>177</v>
      </c>
      <c r="O61" s="20" t="s">
        <v>10</v>
      </c>
      <c r="P61" s="20" t="s">
        <v>198</v>
      </c>
      <c r="Q61" s="20" t="s">
        <v>200</v>
      </c>
      <c r="R61" s="20" t="s">
        <v>107</v>
      </c>
      <c r="S61" s="20" t="s">
        <v>107</v>
      </c>
    </row>
    <row r="62" spans="2:19">
      <c r="B62" s="16" t="s">
        <v>10</v>
      </c>
      <c r="C62" s="16" t="s">
        <v>86</v>
      </c>
      <c r="D62" s="17" t="s">
        <v>100</v>
      </c>
      <c r="E62" s="17" t="s">
        <v>101</v>
      </c>
      <c r="F62" s="17" t="s">
        <v>10</v>
      </c>
      <c r="G62" s="18" t="s">
        <v>176</v>
      </c>
      <c r="H62" s="18" t="s">
        <v>101</v>
      </c>
      <c r="I62" s="18" t="s">
        <v>10</v>
      </c>
      <c r="J62" s="19" t="s">
        <v>103</v>
      </c>
      <c r="K62" s="19" t="s">
        <v>199</v>
      </c>
      <c r="L62" s="20" t="s">
        <v>105</v>
      </c>
      <c r="M62" s="20" t="s">
        <v>103</v>
      </c>
      <c r="N62" s="20" t="s">
        <v>177</v>
      </c>
      <c r="O62" s="20" t="s">
        <v>10</v>
      </c>
      <c r="P62" s="20" t="s">
        <v>86</v>
      </c>
      <c r="Q62" s="20" t="s">
        <v>116</v>
      </c>
      <c r="R62" s="20" t="s">
        <v>107</v>
      </c>
      <c r="S62" s="20" t="s">
        <v>107</v>
      </c>
    </row>
    <row r="63" spans="2:19">
      <c r="B63" s="16" t="s">
        <v>10</v>
      </c>
      <c r="C63" s="16" t="s">
        <v>183</v>
      </c>
      <c r="D63" s="17" t="s">
        <v>100</v>
      </c>
      <c r="E63" s="17" t="s">
        <v>101</v>
      </c>
      <c r="F63" s="17" t="s">
        <v>10</v>
      </c>
      <c r="G63" s="18" t="s">
        <v>176</v>
      </c>
      <c r="H63" s="18" t="s">
        <v>101</v>
      </c>
      <c r="I63" s="18" t="s">
        <v>10</v>
      </c>
      <c r="J63" s="19" t="s">
        <v>103</v>
      </c>
      <c r="K63" s="19" t="s">
        <v>199</v>
      </c>
      <c r="L63" s="20" t="s">
        <v>105</v>
      </c>
      <c r="M63" s="20" t="s">
        <v>103</v>
      </c>
      <c r="N63" s="20" t="s">
        <v>177</v>
      </c>
      <c r="O63" s="20" t="s">
        <v>10</v>
      </c>
      <c r="P63" s="20" t="s">
        <v>183</v>
      </c>
      <c r="Q63" s="20" t="s">
        <v>116</v>
      </c>
      <c r="R63" s="20" t="s">
        <v>107</v>
      </c>
      <c r="S63" s="20" t="s">
        <v>107</v>
      </c>
    </row>
    <row r="64" spans="2:19">
      <c r="B64" s="16" t="s">
        <v>10</v>
      </c>
      <c r="C64" s="16" t="s">
        <v>201</v>
      </c>
      <c r="D64" s="17" t="s">
        <v>100</v>
      </c>
      <c r="E64" s="17" t="s">
        <v>101</v>
      </c>
      <c r="F64" s="17" t="s">
        <v>10</v>
      </c>
      <c r="G64" s="18" t="s">
        <v>176</v>
      </c>
      <c r="H64" s="18" t="s">
        <v>101</v>
      </c>
      <c r="I64" s="18" t="s">
        <v>10</v>
      </c>
      <c r="J64" s="19" t="s">
        <v>103</v>
      </c>
      <c r="K64" s="19" t="s">
        <v>199</v>
      </c>
      <c r="L64" s="20" t="s">
        <v>105</v>
      </c>
      <c r="M64" s="20" t="s">
        <v>103</v>
      </c>
      <c r="N64" s="20" t="s">
        <v>177</v>
      </c>
      <c r="O64" s="20" t="s">
        <v>10</v>
      </c>
      <c r="P64" s="20" t="s">
        <v>202</v>
      </c>
      <c r="Q64" s="20" t="s">
        <v>116</v>
      </c>
      <c r="R64" s="20" t="s">
        <v>107</v>
      </c>
      <c r="S64" s="20" t="s">
        <v>107</v>
      </c>
    </row>
    <row r="65" spans="2:19">
      <c r="B65" s="16" t="s">
        <v>10</v>
      </c>
      <c r="C65" s="16" t="s">
        <v>192</v>
      </c>
      <c r="D65" s="17" t="s">
        <v>100</v>
      </c>
      <c r="E65" s="17" t="s">
        <v>101</v>
      </c>
      <c r="F65" s="17" t="s">
        <v>10</v>
      </c>
      <c r="G65" s="18" t="s">
        <v>176</v>
      </c>
      <c r="H65" s="18" t="s">
        <v>101</v>
      </c>
      <c r="I65" s="18" t="s">
        <v>10</v>
      </c>
      <c r="J65" s="19" t="s">
        <v>103</v>
      </c>
      <c r="K65" s="19" t="s">
        <v>199</v>
      </c>
      <c r="L65" s="20" t="s">
        <v>105</v>
      </c>
      <c r="M65" s="20" t="s">
        <v>103</v>
      </c>
      <c r="N65" s="20" t="s">
        <v>177</v>
      </c>
      <c r="O65" s="20" t="s">
        <v>10</v>
      </c>
      <c r="P65" s="20" t="s">
        <v>192</v>
      </c>
      <c r="Q65" s="20" t="s">
        <v>200</v>
      </c>
      <c r="R65" s="20" t="s">
        <v>107</v>
      </c>
      <c r="S65" s="20" t="s">
        <v>107</v>
      </c>
    </row>
    <row r="66" spans="2:19">
      <c r="B66" s="16" t="s">
        <v>10</v>
      </c>
      <c r="C66" s="16" t="s">
        <v>184</v>
      </c>
      <c r="D66" s="17" t="s">
        <v>100</v>
      </c>
      <c r="E66" s="17" t="s">
        <v>101</v>
      </c>
      <c r="F66" s="17" t="s">
        <v>10</v>
      </c>
      <c r="G66" s="18" t="s">
        <v>176</v>
      </c>
      <c r="H66" s="18" t="s">
        <v>101</v>
      </c>
      <c r="I66" s="18" t="s">
        <v>10</v>
      </c>
      <c r="J66" s="19" t="s">
        <v>103</v>
      </c>
      <c r="K66" s="19" t="s">
        <v>199</v>
      </c>
      <c r="L66" s="20" t="s">
        <v>105</v>
      </c>
      <c r="M66" s="20" t="s">
        <v>103</v>
      </c>
      <c r="N66" s="20" t="s">
        <v>177</v>
      </c>
      <c r="O66" s="20" t="s">
        <v>10</v>
      </c>
      <c r="P66" s="20" t="s">
        <v>185</v>
      </c>
      <c r="Q66" s="20" t="s">
        <v>116</v>
      </c>
      <c r="R66" s="20" t="s">
        <v>107</v>
      </c>
      <c r="S66" s="20" t="s">
        <v>107</v>
      </c>
    </row>
    <row r="67" spans="2:19">
      <c r="B67" s="16" t="s">
        <v>10</v>
      </c>
      <c r="C67" s="16" t="s">
        <v>174</v>
      </c>
      <c r="D67" s="17" t="s">
        <v>100</v>
      </c>
      <c r="E67" s="17" t="s">
        <v>101</v>
      </c>
      <c r="F67" s="17" t="s">
        <v>10</v>
      </c>
      <c r="G67" s="18" t="s">
        <v>176</v>
      </c>
      <c r="H67" s="18" t="s">
        <v>101</v>
      </c>
      <c r="I67" s="18" t="s">
        <v>10</v>
      </c>
      <c r="J67" s="19" t="s">
        <v>103</v>
      </c>
      <c r="K67" s="19" t="s">
        <v>199</v>
      </c>
      <c r="L67" s="20" t="s">
        <v>105</v>
      </c>
      <c r="M67" s="20" t="s">
        <v>103</v>
      </c>
      <c r="N67" s="20" t="s">
        <v>177</v>
      </c>
      <c r="O67" s="20" t="s">
        <v>10</v>
      </c>
      <c r="P67" s="20" t="s">
        <v>178</v>
      </c>
      <c r="Q67" s="20" t="s">
        <v>116</v>
      </c>
      <c r="R67" s="20" t="s">
        <v>107</v>
      </c>
      <c r="S67" s="20" t="s">
        <v>107</v>
      </c>
    </row>
    <row r="68" spans="2:19">
      <c r="B68" s="16" t="s">
        <v>10</v>
      </c>
      <c r="C68" s="16" t="s">
        <v>203</v>
      </c>
      <c r="D68" s="17" t="s">
        <v>100</v>
      </c>
      <c r="E68" s="17" t="s">
        <v>101</v>
      </c>
      <c r="F68" s="17" t="s">
        <v>10</v>
      </c>
      <c r="G68" s="18" t="s">
        <v>176</v>
      </c>
      <c r="H68" s="18" t="s">
        <v>101</v>
      </c>
      <c r="I68" s="18" t="s">
        <v>10</v>
      </c>
      <c r="J68" s="19" t="s">
        <v>103</v>
      </c>
      <c r="K68" s="19" t="s">
        <v>199</v>
      </c>
      <c r="L68" s="20" t="s">
        <v>105</v>
      </c>
      <c r="M68" s="20" t="s">
        <v>103</v>
      </c>
      <c r="N68" s="20" t="s">
        <v>177</v>
      </c>
      <c r="O68" s="20" t="s">
        <v>10</v>
      </c>
      <c r="P68" s="20" t="s">
        <v>204</v>
      </c>
      <c r="Q68" s="20" t="s">
        <v>205</v>
      </c>
      <c r="R68" s="20" t="s">
        <v>107</v>
      </c>
      <c r="S68" s="20" t="s">
        <v>107</v>
      </c>
    </row>
    <row r="69" spans="2:19">
      <c r="B69" s="16" t="s">
        <v>10</v>
      </c>
      <c r="C69" s="16" t="s">
        <v>188</v>
      </c>
      <c r="D69" s="17" t="s">
        <v>100</v>
      </c>
      <c r="E69" s="17" t="s">
        <v>101</v>
      </c>
      <c r="F69" s="17" t="s">
        <v>10</v>
      </c>
      <c r="G69" s="18" t="s">
        <v>176</v>
      </c>
      <c r="H69" s="18" t="s">
        <v>101</v>
      </c>
      <c r="I69" s="18" t="s">
        <v>10</v>
      </c>
      <c r="J69" s="19" t="s">
        <v>103</v>
      </c>
      <c r="K69" s="19" t="s">
        <v>199</v>
      </c>
      <c r="L69" s="20" t="s">
        <v>105</v>
      </c>
      <c r="M69" s="20" t="s">
        <v>103</v>
      </c>
      <c r="N69" s="20" t="s">
        <v>177</v>
      </c>
      <c r="O69" s="20" t="s">
        <v>10</v>
      </c>
      <c r="P69" s="20" t="s">
        <v>189</v>
      </c>
      <c r="Q69" s="20" t="s">
        <v>200</v>
      </c>
      <c r="R69" s="20" t="s">
        <v>107</v>
      </c>
      <c r="S69" s="20" t="s">
        <v>107</v>
      </c>
    </row>
    <row r="70" spans="2:19">
      <c r="B70" s="16" t="s">
        <v>10</v>
      </c>
      <c r="C70" s="16" t="s">
        <v>190</v>
      </c>
      <c r="D70" s="17" t="s">
        <v>100</v>
      </c>
      <c r="E70" s="17" t="s">
        <v>101</v>
      </c>
      <c r="F70" s="17" t="s">
        <v>10</v>
      </c>
      <c r="G70" s="18" t="s">
        <v>176</v>
      </c>
      <c r="H70" s="18" t="s">
        <v>101</v>
      </c>
      <c r="I70" s="18" t="s">
        <v>10</v>
      </c>
      <c r="J70" s="19" t="s">
        <v>103</v>
      </c>
      <c r="K70" s="19" t="s">
        <v>199</v>
      </c>
      <c r="L70" s="20" t="s">
        <v>105</v>
      </c>
      <c r="M70" s="20" t="s">
        <v>103</v>
      </c>
      <c r="N70" s="20" t="s">
        <v>177</v>
      </c>
      <c r="O70" s="20" t="s">
        <v>10</v>
      </c>
      <c r="P70" s="20" t="s">
        <v>191</v>
      </c>
      <c r="Q70" s="20" t="s">
        <v>116</v>
      </c>
      <c r="R70" s="20" t="s">
        <v>107</v>
      </c>
      <c r="S70" s="20" t="s">
        <v>107</v>
      </c>
    </row>
    <row r="71" spans="2:19">
      <c r="B71" s="16" t="s">
        <v>10</v>
      </c>
      <c r="C71" s="16" t="s">
        <v>194</v>
      </c>
      <c r="D71" s="17" t="s">
        <v>100</v>
      </c>
      <c r="E71" s="17" t="s">
        <v>101</v>
      </c>
      <c r="F71" s="17" t="s">
        <v>10</v>
      </c>
      <c r="G71" s="18" t="s">
        <v>176</v>
      </c>
      <c r="H71" s="18" t="s">
        <v>101</v>
      </c>
      <c r="I71" s="18" t="s">
        <v>10</v>
      </c>
      <c r="J71" s="19" t="s">
        <v>103</v>
      </c>
      <c r="K71" s="19" t="s">
        <v>199</v>
      </c>
      <c r="L71" s="20" t="s">
        <v>105</v>
      </c>
      <c r="M71" s="20" t="s">
        <v>103</v>
      </c>
      <c r="N71" s="20" t="s">
        <v>177</v>
      </c>
      <c r="O71" s="20" t="s">
        <v>10</v>
      </c>
      <c r="P71" s="20" t="s">
        <v>195</v>
      </c>
      <c r="Q71" s="20" t="s">
        <v>116</v>
      </c>
      <c r="R71" s="20" t="s">
        <v>107</v>
      </c>
      <c r="S71" s="20" t="s">
        <v>107</v>
      </c>
    </row>
    <row r="72" spans="2:19">
      <c r="B72" s="16" t="s">
        <v>10</v>
      </c>
      <c r="C72" s="16" t="s">
        <v>180</v>
      </c>
      <c r="D72" s="17" t="s">
        <v>100</v>
      </c>
      <c r="E72" s="17" t="s">
        <v>101</v>
      </c>
      <c r="F72" s="17" t="s">
        <v>10</v>
      </c>
      <c r="G72" s="18" t="s">
        <v>176</v>
      </c>
      <c r="H72" s="18" t="s">
        <v>101</v>
      </c>
      <c r="I72" s="18" t="s">
        <v>10</v>
      </c>
      <c r="J72" s="19" t="s">
        <v>103</v>
      </c>
      <c r="K72" s="19" t="s">
        <v>199</v>
      </c>
      <c r="L72" s="20" t="s">
        <v>105</v>
      </c>
      <c r="M72" s="20" t="s">
        <v>103</v>
      </c>
      <c r="N72" s="20" t="s">
        <v>177</v>
      </c>
      <c r="O72" s="20" t="s">
        <v>10</v>
      </c>
      <c r="P72" s="20" t="s">
        <v>181</v>
      </c>
      <c r="Q72" s="20" t="s">
        <v>116</v>
      </c>
      <c r="R72" s="20" t="s">
        <v>107</v>
      </c>
      <c r="S72" s="20" t="s">
        <v>107</v>
      </c>
    </row>
    <row r="73" spans="2:19">
      <c r="B73" s="16" t="s">
        <v>10</v>
      </c>
      <c r="C73" s="16" t="s">
        <v>206</v>
      </c>
      <c r="D73" s="17" t="s">
        <v>100</v>
      </c>
      <c r="E73" s="17" t="s">
        <v>101</v>
      </c>
      <c r="F73" s="17" t="s">
        <v>10</v>
      </c>
      <c r="G73" s="18" t="s">
        <v>176</v>
      </c>
      <c r="H73" s="18" t="s">
        <v>101</v>
      </c>
      <c r="I73" s="18" t="s">
        <v>10</v>
      </c>
      <c r="J73" s="19" t="s">
        <v>103</v>
      </c>
      <c r="K73" s="19" t="s">
        <v>199</v>
      </c>
      <c r="L73" s="20" t="s">
        <v>105</v>
      </c>
      <c r="M73" s="20" t="s">
        <v>103</v>
      </c>
      <c r="N73" s="20" t="s">
        <v>177</v>
      </c>
      <c r="O73" s="20" t="s">
        <v>10</v>
      </c>
      <c r="P73" s="20" t="s">
        <v>191</v>
      </c>
      <c r="Q73" s="20" t="s">
        <v>116</v>
      </c>
      <c r="R73" s="20" t="s">
        <v>107</v>
      </c>
      <c r="S73" s="20" t="s">
        <v>107</v>
      </c>
    </row>
  </sheetData>
  <mergeCells count="4">
    <mergeCell ref="D1:F1"/>
    <mergeCell ref="G1:I1"/>
    <mergeCell ref="J1:K1"/>
    <mergeCell ref="L1:S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出品情報</vt:lpstr>
      <vt:lpstr>貼り付け</vt:lpstr>
      <vt:lpstr>リスト</vt:lpstr>
      <vt:lpstr>カテゴリ対応表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ito fumihiro</cp:lastModifiedBy>
  <dcterms:created xsi:type="dcterms:W3CDTF">2021-01-16T04:16:06Z</dcterms:created>
  <dcterms:modified xsi:type="dcterms:W3CDTF">2021-04-13T03:44:32Z</dcterms:modified>
</cp:coreProperties>
</file>